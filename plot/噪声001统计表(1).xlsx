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hysics_datset_MDSR_top1_share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<sst xmlns="http://schemas.openxmlformats.org/spreadsheetml/2006/main" count="2150" uniqueCount="1974">
  <si>
    <t>ID</t>
  </si>
  <si>
    <t>TopRank</t>
  </si>
  <si>
    <t>ModelName</t>
  </si>
  <si>
    <t>OriginalFormula</t>
  </si>
  <si>
    <t>GenerationFormula</t>
  </si>
  <si>
    <t>Target</t>
  </si>
  <si>
    <t>IndependentVars</t>
  </si>
  <si>
    <t>ParameterRange</t>
  </si>
  <si>
    <t>FixedConstantValues</t>
  </si>
  <si>
    <t>simpFormula</t>
  </si>
  <si>
    <t>para_eq</t>
  </si>
  <si>
    <t>orgpara_list</t>
  </si>
  <si>
    <t>para_list</t>
  </si>
  <si>
    <t>shared_fit_mse_0_7</t>
  </si>
  <si>
    <t>shared_fit_mse_hmean_0_7</t>
  </si>
  <si>
    <t>shared_fit_r2_0_7</t>
  </si>
  <si>
    <t>complexity</t>
  </si>
  <si>
    <t>loss</t>
  </si>
  <si>
    <t>score</t>
  </si>
  <si>
    <t>dataset</t>
  </si>
  <si>
    <t>structure_similarity_score</t>
  </si>
  <si>
    <t>structure_similarity_level</t>
  </si>
  <si>
    <t>WASS_0_MSE</t>
  </si>
  <si>
    <t>WASS_0_NMSE</t>
  </si>
  <si>
    <t>WASS_0_R2</t>
  </si>
  <si>
    <t>WASS_025_MSE</t>
  </si>
  <si>
    <t>WASS_025_NMSE</t>
  </si>
  <si>
    <t>WASS_025_R2</t>
  </si>
  <si>
    <t>WASS_04_MSE</t>
  </si>
  <si>
    <t>WASS_04_NMSE</t>
  </si>
  <si>
    <t>WASS_04_R2</t>
  </si>
  <si>
    <t>noise_0_MSE</t>
  </si>
  <si>
    <t>noise_0_NMSE</t>
  </si>
  <si>
    <t>noise_0_R2</t>
  </si>
  <si>
    <t>noise_001_MSE</t>
  </si>
  <si>
    <t>noise_001_NMSE</t>
  </si>
  <si>
    <t>noise_001_R2</t>
  </si>
  <si>
    <t>noise_003_MSE</t>
  </si>
  <si>
    <t>noise_003_NMSE</t>
  </si>
  <si>
    <t>noise_003_R2</t>
  </si>
  <si>
    <t>noise_005_MSE</t>
  </si>
  <si>
    <t>noise_005_NMSE</t>
  </si>
  <si>
    <t>noise_005_R2</t>
  </si>
  <si>
    <t>noise_01_MSE</t>
  </si>
  <si>
    <t>noise_01_NMSE</t>
  </si>
  <si>
    <t>noise_01_R2</t>
  </si>
  <si>
    <t>P01</t>
  </si>
  <si>
    <t>I.48.2_1_0</t>
  </si>
  <si>
    <t>E_n = m*c**2/sqrt(1-v**2/c**2)</t>
  </si>
  <si>
    <t>c*sqrt(1 - c**4*m**2/E_n**2)</t>
  </si>
  <si>
    <t>v</t>
  </si>
  <si>
    <t>E_n</t>
  </si>
  <si>
    <t>m=[1, 5]</t>
  </si>
  <si>
    <t>c=6.5</t>
  </si>
  <si>
    <t>6.5*sqrt(1 - 1785.0625*m**2/E_n**2)</t>
  </si>
  <si>
    <t>p0 + ((E_n*p6 + p5)*log(E_n*(E_n + p1*cos(E_n*p3 + E_n**p2) + sin(E_n)))**p4*cos(E_n**p4))**p4</t>
  </si>
  <si>
    <t>[0.00802938500000000, 4.23417117560027, 2, -0.835334655946539, 1/2, -24.9598257281631, 0.159751010000000]</t>
  </si>
  <si>
    <t>[p0, p1, p2, p3, p4, p5, p6]</t>
  </si>
  <si>
    <t>0.0002512004993265</t>
  </si>
  <si>
    <t>0.0002511759314685</t>
  </si>
  <si>
    <t>0.9968287889319174</t>
  </si>
  <si>
    <t>8.153624200210737e-05</t>
  </si>
  <si>
    <t>0.010041072944234106</t>
  </si>
  <si>
    <t>0.12467855160696444</t>
  </si>
  <si>
    <t>0.8753214483930356</t>
  </si>
  <si>
    <t>0.0007304164827212878</t>
  </si>
  <si>
    <t>0.00903353169901339</t>
  </si>
  <si>
    <t>0.9909664683009867</t>
  </si>
  <si>
    <t>0.0006536395462830462</t>
  </si>
  <si>
    <t>0.008258901561624362</t>
  </si>
  <si>
    <t>0.9917410984383757</t>
  </si>
  <si>
    <t>0.0030038074134082823</t>
  </si>
  <si>
    <t>0.03694277856634169</t>
  </si>
  <si>
    <t>0.9630572214336584</t>
  </si>
  <si>
    <t>0.0004977058161748662</t>
  </si>
  <si>
    <t>0.006181974296485409</t>
  </si>
  <si>
    <t>0.9938180257035146</t>
  </si>
  <si>
    <t>0.0029154708255110543</t>
  </si>
  <si>
    <t>0.03544089735282907</t>
  </si>
  <si>
    <t>0.9645591026471709</t>
  </si>
  <si>
    <t>0.006445005004691216</t>
  </si>
  <si>
    <t>0.07513327553392331</t>
  </si>
  <si>
    <t>0.9248667244660767</t>
  </si>
  <si>
    <t>0.02570834553808578</t>
  </si>
  <si>
    <t>0.2433425532883421</t>
  </si>
  <si>
    <t>0.7566574467116579</t>
  </si>
  <si>
    <t>P02</t>
  </si>
  <si>
    <t>III.15.14_1_0</t>
  </si>
  <si>
    <t>m = (h/(2*pi))**2/(2*E_n*d**2)</t>
  </si>
  <si>
    <t>h**2/(8*pi**2*d**2*m)</t>
  </si>
  <si>
    <t>d</t>
  </si>
  <si>
    <t>m=[0.02, 0.08]</t>
  </si>
  <si>
    <t>h=3; pi=3.14159</t>
  </si>
  <si>
    <t>0.113986524158145/(d**2*m)</t>
  </si>
  <si>
    <t>d**p0*(p1 + p2*cos(p3*(d + d**p6*p5 + p4)**p6))</t>
  </si>
  <si>
    <t>[-2, 1.70213190000000, -0.00303061140000000, 2.63726200000000, -0.954673400000000, -0.00223819930000000, -1]</t>
  </si>
  <si>
    <t>5.619843056518549e-05</t>
  </si>
  <si>
    <t>3.977343125946511e-05</t>
  </si>
  <si>
    <t>0.9998092582451148</t>
  </si>
  <si>
    <t>2.1964514e-05</t>
  </si>
  <si>
    <t>4.577629045840389e-05</t>
  </si>
  <si>
    <t>1.5383867310992542e-23</t>
  </si>
  <si>
    <t>6.223764295441509e-23</t>
  </si>
  <si>
    <t>1.0145762586514235e-23</t>
  </si>
  <si>
    <t>1.8252520918876935e-21</t>
  </si>
  <si>
    <t>1.2089748043575004e-25</t>
  </si>
  <si>
    <t>4.371809891433267e-23</t>
  </si>
  <si>
    <t>2.6101770751739093e-23</t>
  </si>
  <si>
    <t>1.4489554361533055e-22</t>
  </si>
  <si>
    <t>5.5257337793804684e-05</t>
  </si>
  <si>
    <t>0.00019455895094175113</t>
  </si>
  <si>
    <t>0.9998054410490582</t>
  </si>
  <si>
    <t>0.0005093843932245938</t>
  </si>
  <si>
    <t>0.00173006841871298</t>
  </si>
  <si>
    <t>0.9982699315812871</t>
  </si>
  <si>
    <t>0.0013868251979528654</t>
  </si>
  <si>
    <t>0.004849552349107817</t>
  </si>
  <si>
    <t>0.9951504476508922</t>
  </si>
  <si>
    <t>0.005614784277499474</t>
  </si>
  <si>
    <t>0.01952531357598704</t>
  </si>
  <si>
    <t>0.980474686424013</t>
  </si>
  <si>
    <t>P03</t>
  </si>
  <si>
    <t>I.24.6_3_1</t>
  </si>
  <si>
    <t>E_n = 1/2*m*(omega**2+omega_0**2)*1/2*x**2</t>
  </si>
  <si>
    <t>2*sqrt(E_n/(m*(omega**2 + omega_0**2)))</t>
  </si>
  <si>
    <t>x</t>
  </si>
  <si>
    <t>E_n, omega</t>
  </si>
  <si>
    <t>m=[1, 3]; omega_0=[1, 3]</t>
  </si>
  <si>
    <t>(none)</t>
  </si>
  <si>
    <t>p0*(E_n*(omega + p1 + p2*sin(omega*p4 + p3))**p2)**p5</t>
  </si>
  <si>
    <t>[0.670624499999814, 1.55208580000000, -1, 0.165704650000000, 0.749545625441857, 1/2]</t>
  </si>
  <si>
    <t>[p0, p1, p2, p3, p4, p5]</t>
  </si>
  <si>
    <t>0.0005008901049227</t>
  </si>
  <si>
    <t>0.0005006064160459</t>
  </si>
  <si>
    <t>0.998368028768846</t>
  </si>
  <si>
    <t>0.001726931593542</t>
  </si>
  <si>
    <t>2.4419121655204455e-07</t>
  </si>
  <si>
    <t>2.814358907882776e-07</t>
  </si>
  <si>
    <t>0.9999997185641092</t>
  </si>
  <si>
    <t>1.6395435345577201e-07</t>
  </si>
  <si>
    <t>2.1292519296386893e-07</t>
  </si>
  <si>
    <t>0.999999787074807</t>
  </si>
  <si>
    <t>1.2860919195225894e-07</t>
  </si>
  <si>
    <t>1.781839280213946e-07</t>
  </si>
  <si>
    <t>0.9999998218160719</t>
  </si>
  <si>
    <t>1.6818987781028967e-07</t>
  </si>
  <si>
    <t>5.535027912916349e-07</t>
  </si>
  <si>
    <t>0.9999994464972087</t>
  </si>
  <si>
    <t>0.0004986235277623348</t>
  </si>
  <si>
    <t>0.0016395067015996133</t>
  </si>
  <si>
    <t>0.9983604932984004</t>
  </si>
  <si>
    <t>0.0044616385594554156</t>
  </si>
  <si>
    <t>0.014461935887697622</t>
  </si>
  <si>
    <t>0.9855380641123024</t>
  </si>
  <si>
    <t>0.012516877840561397</t>
  </si>
  <si>
    <t>0.039558550730425565</t>
  </si>
  <si>
    <t>0.9604414492695744</t>
  </si>
  <si>
    <t>0.05002307073641078</t>
  </si>
  <si>
    <t>0.1404107659344005</t>
  </si>
  <si>
    <t>0.8595892340655995</t>
  </si>
  <si>
    <t>P04</t>
  </si>
  <si>
    <t>I.32.5_1_1</t>
  </si>
  <si>
    <t>Pwr = q**2*a**2/(6*pi*epsilon*c**3)</t>
  </si>
  <si>
    <t>sqrt(6)*sqrt(pi)*sqrt(Pwr*c**3*epsilon)/q</t>
  </si>
  <si>
    <t>a</t>
  </si>
  <si>
    <t>Pwr</t>
  </si>
  <si>
    <t>q=[1, 5]</t>
  </si>
  <si>
    <t>c=3; epsilon=3; pi=3.14159</t>
  </si>
  <si>
    <t>15.9520779210735*sqrt(6)*sqrt(Pwr)/q</t>
  </si>
  <si>
    <t>Pwr**p0*(p1 + p2*sin(Pwr**p4*p3) + p5*sin(Pwr**p10*p9) + p5*sin(Pwr**p4*p8) + p5*sin(Pwr**p7*p6) + p5*sin(Pwr*p4 + Pwr**p7*p12 + p11))</t>
  </si>
  <si>
    <t>[1/2, 10.8819370741496, 0.00880169800000000, 353.110020000000, -1, -0.00880169800000000, 1.37490880000000, -2, 343.687680000000, 1379.83227619587, 2, 0.800868630000000, 559.412600000000]</t>
  </si>
  <si>
    <t>[p0, p1, p2, p3, p4, p5, p6, p7, p8, p9, p10, p11, p12]</t>
  </si>
  <si>
    <t>0.0013028959462954</t>
  </si>
  <si>
    <t>0.0013022841023415</t>
  </si>
  <si>
    <t>0.9988493797639136</t>
  </si>
  <si>
    <t>1.95529980101649e-05</t>
  </si>
  <si>
    <t>1.4266579555377542e-23</t>
  </si>
  <si>
    <t>1.2565360382881995e-23</t>
  </si>
  <si>
    <t>1.32585561797196e-23</t>
  </si>
  <si>
    <t>1.1666801659015327e-23</t>
  </si>
  <si>
    <t>1.354680319949788e-23</t>
  </si>
  <si>
    <t>1.1915012959928184e-23</t>
  </si>
  <si>
    <t>1.3344612133438024e-23</t>
  </si>
  <si>
    <t>1.1748693319132407e-23</t>
  </si>
  <si>
    <t>0.0012951124599852846</t>
  </si>
  <si>
    <t>0.001139014344316367</t>
  </si>
  <si>
    <t>0.9988609856556836</t>
  </si>
  <si>
    <t>0.011826612178225825</t>
  </si>
  <si>
    <t>0.010301461980256915</t>
  </si>
  <si>
    <t>0.9896985380197431</t>
  </si>
  <si>
    <t>0.03253002533782938</t>
  </si>
  <si>
    <t>0.02783998418413145</t>
  </si>
  <si>
    <t>0.9721600158158685</t>
  </si>
  <si>
    <t>0.1320333262440972</t>
  </si>
  <si>
    <t>0.10418742684420908</t>
  </si>
  <si>
    <t>0.8958125731557909</t>
  </si>
  <si>
    <t>P05</t>
  </si>
  <si>
    <t>II.27.18_1_0</t>
  </si>
  <si>
    <t>E_den = epsilon*Ef**2</t>
  </si>
  <si>
    <t>sqrt(E_den/epsilon)</t>
  </si>
  <si>
    <t>Ef</t>
  </si>
  <si>
    <t>E_den</t>
  </si>
  <si>
    <t>epsilon=[1, 5]</t>
  </si>
  <si>
    <t>E_den*p0*(E_den + p1*exp(E_den*p2*cos(E_den + p3) + cos(E_den**p5*p4)))**p6</t>
  </si>
  <si>
    <t>[0.479536680000000, -0.00264526800000000, 0.0518356400000000, 1.59535770000000, 0.642484700000000, 2, -1/2]</t>
  </si>
  <si>
    <t>0.001306104771714</t>
  </si>
  <si>
    <t>0.001305825886167</t>
  </si>
  <si>
    <t>0.9988438717274802</t>
  </si>
  <si>
    <t>0.0005781253125533</t>
  </si>
  <si>
    <t>1.1156235341541278e-23</t>
  </si>
  <si>
    <t>9.828146700250768e-24</t>
  </si>
  <si>
    <t>1.201100568043773e-23</t>
  </si>
  <si>
    <t>1.0571648660150289e-23</t>
  </si>
  <si>
    <t>1.2337557364088896e-23</t>
  </si>
  <si>
    <t>1.0855864601417917e-23</t>
  </si>
  <si>
    <t>1.139539148063738e-23</t>
  </si>
  <si>
    <t>9.976628946918624e-24</t>
  </si>
  <si>
    <t>0.001290781608962625</t>
  </si>
  <si>
    <t>0.0011278623527617364</t>
  </si>
  <si>
    <t>0.9988721376472383</t>
  </si>
  <si>
    <t>0.01161499069550842</t>
  </si>
  <si>
    <t>0.010046560373982891</t>
  </si>
  <si>
    <t>0.9899534396260171</t>
  </si>
  <si>
    <t>0.0325872873140621</t>
  </si>
  <si>
    <t>0.02768252265617168</t>
  </si>
  <si>
    <t>0.9723174773438283</t>
  </si>
  <si>
    <t>0.13065932635902572</t>
  </si>
  <si>
    <t>0.10304658090654775</t>
  </si>
  <si>
    <t>0.8969534190934523</t>
  </si>
  <si>
    <t>P07</t>
  </si>
  <si>
    <t>II.15.4_1_0</t>
  </si>
  <si>
    <t>E_n = -mom*B*cos(theta)</t>
  </si>
  <si>
    <t>B</t>
  </si>
  <si>
    <t>E_n, theta</t>
  </si>
  <si>
    <t>mom=[1, 5]</t>
  </si>
  <si>
    <t>E_n*p0*(p1*(E_n + p2)*sin(E_n*p3)*sin(E_n*p5 + p4) + cos(theta))**p6</t>
  </si>
  <si>
    <t>[-0.479576680000000, -0.000339354106716986, 0.963279100000000, 0.803715609410931, 18.6009332694999, 15.9759710000000, -1]</t>
  </si>
  <si>
    <t>0.001014208722529</t>
  </si>
  <si>
    <t>0.0010133637874617</t>
  </si>
  <si>
    <t>0.9992440924204276</t>
  </si>
  <si>
    <t>0.0003842498157442</t>
  </si>
  <si>
    <t>1.8184447412652928e-21</t>
  </si>
  <si>
    <t>3.3663353237153156e-22</t>
  </si>
  <si>
    <t>1.8169603553170342e-21</t>
  </si>
  <si>
    <t>3.3634054942207513e-22</t>
  </si>
  <si>
    <t>1.8246386495401003e-21</t>
  </si>
  <si>
    <t>3.377056813312008e-22</t>
  </si>
  <si>
    <t>5.5939309161313875e-22</t>
  </si>
  <si>
    <t>4.1638855803452896e-22</t>
  </si>
  <si>
    <t>0.0010312568681291323</t>
  </si>
  <si>
    <t>0.0007670561709094101</t>
  </si>
  <si>
    <t>0.9992329438290906</t>
  </si>
  <si>
    <t>0.009270448273130592</t>
  </si>
  <si>
    <t>0.006853028410228017</t>
  </si>
  <si>
    <t>0.9931469715897719</t>
  </si>
  <si>
    <t>0.0257100890542876</t>
  </si>
  <si>
    <t>0.01877553949928328</t>
  </si>
  <si>
    <t>0.9812244605007167</t>
  </si>
  <si>
    <t>0.10191442344855176</t>
  </si>
  <si>
    <t>0.07027893720303964</t>
  </si>
  <si>
    <t>0.9297210627969603</t>
  </si>
  <si>
    <t>P08</t>
  </si>
  <si>
    <t>III.10.19_1_1</t>
  </si>
  <si>
    <t>E_n = mom*sqrt(Bx**2+By**2+Bz**2)</t>
  </si>
  <si>
    <t>sqrt(-By**2 - Bz**2 + E_n**2/mom**2)</t>
  </si>
  <si>
    <t>Bx</t>
  </si>
  <si>
    <t>E_n, By, Bz</t>
  </si>
  <si>
    <t>(E_n*p6*(Bz + p7) + p0*(By*E_n**p0*p1*(By**p4*p3*(Bz + E_n)**p0 + p2) + Bz)**p5)**p8</t>
  </si>
  <si>
    <t>[-1, 1.77436449982102, 1.02988100000000, 1.17529349723036, 2, 1.80013970000000, 0.217589040000000, 2.59182520000000, 0.718435170000000]</t>
  </si>
  <si>
    <t>[p0, p1, p2, p3, p4, p5, p6, p7, p8]</t>
  </si>
  <si>
    <t>9.735430456032958</t>
  </si>
  <si>
    <t>0.0327444155758393</t>
  </si>
  <si>
    <t>0.1675911841601198</t>
  </si>
  <si>
    <t>0.020683799467717444</t>
  </si>
  <si>
    <t>0.0057648392256550475</t>
  </si>
  <si>
    <t>0.9942351607743449</t>
  </si>
  <si>
    <t>0.3456105428958893</t>
  </si>
  <si>
    <t>0.09538617246820612</t>
  </si>
  <si>
    <t>0.9046138275317939</t>
  </si>
  <si>
    <t>0.020483180852355884</t>
  </si>
  <si>
    <t>0.005693756461964803</t>
  </si>
  <si>
    <t>0.9943062435380352</t>
  </si>
  <si>
    <t>0.2346589703457449</t>
  </si>
  <si>
    <t>0.19935218073116684</t>
  </si>
  <si>
    <t>0.8006478192688331</t>
  </si>
  <si>
    <t>0.35665675382270257</t>
  </si>
  <si>
    <t>0.30372039624567776</t>
  </si>
  <si>
    <t>0.6962796037543222</t>
  </si>
  <si>
    <t>0.2241058237316939</t>
  </si>
  <si>
    <t>0.1880929547992934</t>
  </si>
  <si>
    <t>0.8119070452007067</t>
  </si>
  <si>
    <t>0.08889895965243191</t>
  </si>
  <si>
    <t>0.07385308989949703</t>
  </si>
  <si>
    <t>0.9261469101005029</t>
  </si>
  <si>
    <t>0.4277583507899904</t>
  </si>
  <si>
    <t>0.3268367592662418</t>
  </si>
  <si>
    <t>0.6731632407337582</t>
  </si>
  <si>
    <t>P09</t>
  </si>
  <si>
    <t>II.34.2_1_0</t>
  </si>
  <si>
    <t>mom = q*v*r/2</t>
  </si>
  <si>
    <t>2*mom/(q*r)</t>
  </si>
  <si>
    <t>r</t>
  </si>
  <si>
    <t>mom=[2, 8]</t>
  </si>
  <si>
    <t>q=3</t>
  </si>
  <si>
    <t>2*mom/(3*r)</t>
  </si>
  <si>
    <t>p0*(p1*(p2 + r + sin(r**p5*atan(r) + (p3 + r)**p4))**p5 + r)**p5</t>
  </si>
  <si>
    <t>[2.52454660000000, -0.00120222420000000, 0.102998512206849, 1, 10.8644950000000, -1]</t>
  </si>
  <si>
    <t>0.0003136613927929</t>
  </si>
  <si>
    <t>0.0002391479842643</t>
  </si>
  <si>
    <t>0.99948442441963</t>
  </si>
  <si>
    <t>8.511489105118728e-06</t>
  </si>
  <si>
    <t>1.726892167190355e-23</t>
  </si>
  <si>
    <t>2.960517785019178e-23</t>
  </si>
  <si>
    <t>1.8365958112697065e-23</t>
  </si>
  <si>
    <t>2.8682440865558543e-23</t>
  </si>
  <si>
    <t>1.9138504149374465e-23</t>
  </si>
  <si>
    <t>2.8422376710072223e-23</t>
  </si>
  <si>
    <t>9.592495773116382e-24</t>
  </si>
  <si>
    <t>3.037800807607308e-23</t>
  </si>
  <si>
    <t>0.00016939071639470853</t>
  </si>
  <si>
    <t>0.0005231351274090912</t>
  </si>
  <si>
    <t>0.9994768648725909</t>
  </si>
  <si>
    <t>0.0015625781753680905</t>
  </si>
  <si>
    <t>0.0047116574964631425</t>
  </si>
  <si>
    <t>0.9952883425035368</t>
  </si>
  <si>
    <t>0.00427290818288179</t>
  </si>
  <si>
    <t>0.012815766289032906</t>
  </si>
  <si>
    <t>0.9871842337109671</t>
  </si>
  <si>
    <t>0.017016950559110317</t>
  </si>
  <si>
    <t>0.04955485619599795</t>
  </si>
  <si>
    <t>0.950445143804002</t>
  </si>
  <si>
    <t>P10</t>
  </si>
  <si>
    <t>I.32.17_2_0</t>
  </si>
  <si>
    <t>Pwr = (1/2*epsilon*c*Ef**2)*(8*pi*r**2/3)*(omega**4/(omega**2-omega_0**2)**2)</t>
  </si>
  <si>
    <t>sqrt(3)*sqrt(Pwr/(c*epsilon))*(-omega**2 + omega_0**2)/(2*sqrt(pi)*omega**2*r)</t>
  </si>
  <si>
    <t>Pwr, omega</t>
  </si>
  <si>
    <t>r=[1, 2]; omega_0=[3, 5]</t>
  </si>
  <si>
    <t>c=1.5; epsilon=1.5; pi=3.14159</t>
  </si>
  <si>
    <t>0.188063273941061*sqrt(3)*sqrt(Pwr)*(-omega**2 + omega_0**2)/(omega**2*r)</t>
  </si>
  <si>
    <t>Pwr**p1*p0*(omega**p4*p3 + p2 + p5*atan(exp(sin(Pwr) + cos(Pwr*p8))*cos(Pwr*p7*atan(Pwr) + p6)))</t>
  </si>
  <si>
    <t>[44.5027600000000, 1/2, -0.00483919630000000, 0.0652686400000000, -2, -1.87151300000000e-5, 1.01515200000000, 1.79131240000000, 4.37218466831361]</t>
  </si>
  <si>
    <t>0.0002483554226386</t>
  </si>
  <si>
    <t>0.0002482733310755</t>
  </si>
  <si>
    <t>0.9969138340056976</t>
  </si>
  <si>
    <t>0.0004869513702779</t>
  </si>
  <si>
    <t>3.697421295659038e-22</t>
  </si>
  <si>
    <t>1.0712721049091537e-22</t>
  </si>
  <si>
    <t>3.4538276693025762e-22</t>
  </si>
  <si>
    <t>1.0656461720865917e-22</t>
  </si>
  <si>
    <t>3.340473637025965e-22</t>
  </si>
  <si>
    <t>1.0633610681757015e-22</t>
  </si>
  <si>
    <t>5.600109297528817e-23</t>
  </si>
  <si>
    <t>7.007918381539331e-22</t>
  </si>
  <si>
    <t>0.0002518014246739893</t>
  </si>
  <si>
    <t>0.0031406081211878185</t>
  </si>
  <si>
    <t>0.9968593918788122</t>
  </si>
  <si>
    <t>0.002255157220596416</t>
  </si>
  <si>
    <t>0.027487175193920077</t>
  </si>
  <si>
    <t>0.9725128248060799</t>
  </si>
  <si>
    <t>0.00624682138374231</t>
  </si>
  <si>
    <t>0.07284566032438558</t>
  </si>
  <si>
    <t>0.9271543396756143</t>
  </si>
  <si>
    <t>0.02502288032082455</t>
  </si>
  <si>
    <t>0.2385564308048174</t>
  </si>
  <si>
    <t>0.7614435691951826</t>
  </si>
  <si>
    <t>P11</t>
  </si>
  <si>
    <t>II.11.27_0_0</t>
  </si>
  <si>
    <t>Pol = n*alpha/(1-(n*alpha/3))*epsilon*Ef</t>
  </si>
  <si>
    <t>3*Pol/(alpha*(3*Ef*epsilon + Pol))</t>
  </si>
  <si>
    <t>n</t>
  </si>
  <si>
    <t>Pol, Ef</t>
  </si>
  <si>
    <t>alpha=[0, 1]</t>
  </si>
  <si>
    <t>epsilon=1.5</t>
  </si>
  <si>
    <t>3*Pol/(alpha*(4.5*Ef + Pol))</t>
  </si>
  <si>
    <t>Ef**p0*(p1 + p2*sin(Ef**p4*p3)*sin(Pol*p5*log(Ef)**p0))*(Pol*exp(Ef**p0*Pol*p7) + p6)</t>
  </si>
  <si>
    <t>[-1, 3.06182070000000, -0.00611929550000000, 1.54469509611054, 2, 0.897273900000000, 0.000157062230000000, -0.211466060000000]</t>
  </si>
  <si>
    <t>[p0, p1, p2, p3, p4, p5, p6, p7]</t>
  </si>
  <si>
    <t>2.374870200723834e-05</t>
  </si>
  <si>
    <t>2.3704069188146977e-05</t>
  </si>
  <si>
    <t>0.9994914200946236</t>
  </si>
  <si>
    <t>2.2148151e-05</t>
  </si>
  <si>
    <t>0.0007427703896511</t>
  </si>
  <si>
    <t>8.808125090760073e-07</t>
  </si>
  <si>
    <t>9.570396931361375e-06</t>
  </si>
  <si>
    <t>0.9999904296030686</t>
  </si>
  <si>
    <t>3.678855837002394e-06</t>
  </si>
  <si>
    <t>4.275437951785349e-05</t>
  </si>
  <si>
    <t>0.9999572456204822</t>
  </si>
  <si>
    <t>6.874800940999642e-06</t>
  </si>
  <si>
    <t>8.324276705614664e-05</t>
  </si>
  <si>
    <t>0.9999167572329439</t>
  </si>
  <si>
    <t>5.56335137211091e-08</t>
  </si>
  <si>
    <t>1.1940727402463137e-06</t>
  </si>
  <si>
    <t>0.9999988059272598</t>
  </si>
  <si>
    <t>2.392457279322667e-05</t>
  </si>
  <si>
    <t>0.0005118861866598124</t>
  </si>
  <si>
    <t>0.9994881138133402</t>
  </si>
  <si>
    <t>0.0002167770711611481</t>
  </si>
  <si>
    <t>0.004618890415713015</t>
  </si>
  <si>
    <t>0.995381109584287</t>
  </si>
  <si>
    <t>0.000608457746289757</t>
  </si>
  <si>
    <t>0.012855877109324211</t>
  </si>
  <si>
    <t>0.9871441228906758</t>
  </si>
  <si>
    <t>0.0023990266622150413</t>
  </si>
  <si>
    <t>0.04870638766749088</t>
  </si>
  <si>
    <t>0.9512936123325091</t>
  </si>
  <si>
    <t>P12</t>
  </si>
  <si>
    <t>II.11.3_4_1</t>
  </si>
  <si>
    <t>x = q*Ef/(m*(omega_0**2-omega**2))</t>
  </si>
  <si>
    <t>sqrt(-Ef*q/(m*x) + omega_0**2)</t>
  </si>
  <si>
    <t>omega</t>
  </si>
  <si>
    <t>x, Ef</t>
  </si>
  <si>
    <t>omega_0=[3, 5]</t>
  </si>
  <si>
    <t>q=2; m=2</t>
  </si>
  <si>
    <t>sqrt(-Ef/x + omega_0**2)</t>
  </si>
  <si>
    <t>(Ef*p1*x**p2 + p0 + p3*(p4 + p5*log(Ef)**p2)*sin(p6*x + atan(Ef + p2*x)))**p7</t>
  </si>
  <si>
    <t>[20.3637171937426, -1.00057284099562, -1, -0.00129712339426763, 1.90351360000000, 0.187617030000000, 281.518319509048, 1/2]</t>
  </si>
  <si>
    <t>0.0002607625301542</t>
  </si>
  <si>
    <t>0.0002605774688497</t>
  </si>
  <si>
    <t>0.9966549095569848</t>
  </si>
  <si>
    <t>3.009493417705696e-05</t>
  </si>
  <si>
    <t>1.1317897520418498e-06</t>
  </si>
  <si>
    <t>1.7647619809698715e-06</t>
  </si>
  <si>
    <t>0.999998235238019</t>
  </si>
  <si>
    <t>7.245510643622195e-08</t>
  </si>
  <si>
    <t>1.3155275359519705e-07</t>
  </si>
  <si>
    <t>0.9999998684472464</t>
  </si>
  <si>
    <t>3.3332366815389735e-07</t>
  </si>
  <si>
    <t>6.188139373339487e-07</t>
  </si>
  <si>
    <t>0.9999993811860627</t>
  </si>
  <si>
    <t>0.0034712507801697456</t>
  </si>
  <si>
    <t>0.04510413421987227</t>
  </si>
  <si>
    <t>0.9548958657801278</t>
  </si>
  <si>
    <t>0.004315569419650902</t>
  </si>
  <si>
    <t>0.05576661360512837</t>
  </si>
  <si>
    <t>0.9442333863948716</t>
  </si>
  <si>
    <t>0.0074455017372379445</t>
  </si>
  <si>
    <t>0.09415903442538132</t>
  </si>
  <si>
    <t>0.9058409655746187</t>
  </si>
  <si>
    <t>0.01128459194883271</t>
  </si>
  <si>
    <t>0.13459493902151123</t>
  </si>
  <si>
    <t>0.8654050609784887</t>
  </si>
  <si>
    <t>0.05158058102876918</t>
  </si>
  <si>
    <t>0.49671831744851735</t>
  </si>
  <si>
    <t>0.5032816825514826</t>
  </si>
  <si>
    <t>P13</t>
  </si>
  <si>
    <t>I.13.12_3_0</t>
  </si>
  <si>
    <t>U = G*m1*m2*(1/r2-1/r1)</t>
  </si>
  <si>
    <t>G*m1*m2*r1/(G*m1*m2 + U*r1)</t>
  </si>
  <si>
    <t>r2</t>
  </si>
  <si>
    <t>U</t>
  </si>
  <si>
    <t>r1=[1, 5]</t>
  </si>
  <si>
    <t>G=3; m1=3; m2=3</t>
  </si>
  <si>
    <t>27*r1/(U*r1 + 27)</t>
  </si>
  <si>
    <t>p0 + (p1 + p2*exp(p3**U) + exp(p4*p5**U))**p6</t>
  </si>
  <si>
    <t>[-0.403101500000000, -10.5800608389033, 10.9780293405399, 0.869006160000000, 1.00616591553195, 0.842736900000000, 1/4]</t>
  </si>
  <si>
    <t>0.0004925968470325</t>
  </si>
  <si>
    <t>0.0004923019153152</t>
  </si>
  <si>
    <t>0.999478482247775</t>
  </si>
  <si>
    <t>0.0002539820139978</t>
  </si>
  <si>
    <t>1.182534438195251e-08</t>
  </si>
  <si>
    <t>1.2145616118853518e-08</t>
  </si>
  <si>
    <t>0.9999999878543839</t>
  </si>
  <si>
    <t>6.359532229700516e-09</t>
  </si>
  <si>
    <t>6.5903918096873675e-09</t>
  </si>
  <si>
    <t>0.9999999934096082</t>
  </si>
  <si>
    <t>8.037694944284551e-09</t>
  </si>
  <si>
    <t>8.31581762657829e-09</t>
  </si>
  <si>
    <t>0.9999999916841824</t>
  </si>
  <si>
    <t>1.722208147083381e-08</t>
  </si>
  <si>
    <t>1.7934161306248966e-08</t>
  </si>
  <si>
    <t>0.9999999820658387</t>
  </si>
  <si>
    <t>0.0004975361982064875</t>
  </si>
  <si>
    <t>0.000521043406604832</t>
  </si>
  <si>
    <t>0.9994789565933953</t>
  </si>
  <si>
    <t>0.004573963040506832</t>
  </si>
  <si>
    <t>0.004771825403770909</t>
  </si>
  <si>
    <t>0.9952281745962291</t>
  </si>
  <si>
    <t>0.012521363361578766</t>
  </si>
  <si>
    <t>0.012935453144122245</t>
  </si>
  <si>
    <t>0.9870645468558777</t>
  </si>
  <si>
    <t>0.04945440457455705</t>
  </si>
  <si>
    <t>0.04959341414731305</t>
  </si>
  <si>
    <t>0.9504065858526869</t>
  </si>
  <si>
    <t>P14</t>
  </si>
  <si>
    <t>I.44.4_4_0</t>
  </si>
  <si>
    <t>E_n = n*kb*T*ln(V2/V1)</t>
  </si>
  <si>
    <t>V1*exp(E_n/(T*kb*n))</t>
  </si>
  <si>
    <t>V2</t>
  </si>
  <si>
    <t>V1=[1, 5]; T=[1, 5]</t>
  </si>
  <si>
    <t>kb=3; n=3</t>
  </si>
  <si>
    <t>V1*exp(E_n/(9*T))</t>
  </si>
  <si>
    <t>p0*exp(E_n*p1 + p2*(p3 + p4*sin(E_n*p5*(E_n + p8)*(E_n*p7 + p6)))*(p7*sin(E_n*p10 + p9) + atan(E_n)))</t>
  </si>
  <si>
    <t>[2.44035507192829, 0.0490744100000000, -0.0490744100000000, -0.0102724500000000, -0.0102724410000000, 0.710481800000000, 0.0251840500000000, -1, 3.46719500000000, 0.192651143893600, 0.365080480000000]</t>
  </si>
  <si>
    <t>[p0, p1, p2, p3, p4, p5, p6, p7, p8, p9, p10]</t>
  </si>
  <si>
    <t>0.0007452907326895</t>
  </si>
  <si>
    <t>0.000744453712355</t>
  </si>
  <si>
    <t>0.9994201428544152</t>
  </si>
  <si>
    <t>0.0002817197190723</t>
  </si>
  <si>
    <t>1.2149514749257602e-23</t>
  </si>
  <si>
    <t>9.541737401317778e-24</t>
  </si>
  <si>
    <t>1.1592571712605724e-23</t>
  </si>
  <si>
    <t>9.104665163749892e-24</t>
  </si>
  <si>
    <t>1.1319246087461464e-23</t>
  </si>
  <si>
    <t>8.890204285366562e-24</t>
  </si>
  <si>
    <t>1.1779489730923548e-23</t>
  </si>
  <si>
    <t>9.160178125720587e-24</t>
  </si>
  <si>
    <t>0.0007475780044489133</t>
  </si>
  <si>
    <t>0.0005804860204866849</t>
  </si>
  <si>
    <t>0.9994195139795132</t>
  </si>
  <si>
    <t>0.0065622434363503505</t>
  </si>
  <si>
    <t>0.005069896136057468</t>
  </si>
  <si>
    <t>0.9949301038639425</t>
  </si>
  <si>
    <t>0.018523449015855703</t>
  </si>
  <si>
    <t>0.014198414525810506</t>
  </si>
  <si>
    <t>0.9858015854741895</t>
  </si>
  <si>
    <t>0.07531572060955079</t>
  </si>
  <si>
    <t>0.05523826354371379</t>
  </si>
  <si>
    <t>0.9447617364562861</t>
  </si>
  <si>
    <t>P15</t>
  </si>
  <si>
    <t>II.34.29b_4_0</t>
  </si>
  <si>
    <t>E_n = g_*mom*B*Jz/(h/(2*pi))</t>
  </si>
  <si>
    <t>E_n*h/(2*pi*Jz*g_*mom)</t>
  </si>
  <si>
    <t>g_=[1, 5]</t>
  </si>
  <si>
    <t>h=3; Jz=3; mom=3; pi=3.14159</t>
  </si>
  <si>
    <t>0.0530516925081461*E_n/g_</t>
  </si>
  <si>
    <t>E_n*(p0 + p1*exp(p3*sin(E_n**p6*p5 + p4) + sin(E_n*p9 + p8) + cos(E_n*p7))*cos(E_n*(E_n + p2)))</t>
  </si>
  <si>
    <t>[0.0128395585000000, 6.08872058211584e-6, 0.0720942840000000, -1, -0.503212200000000, 0.0337904400000000, 2, 0.0675808800000000, -0.976624370000000, 0.570261100000000]</t>
  </si>
  <si>
    <t>[p0, p1, p2, p3, p4, p5, p6, p7, p8, p9]</t>
  </si>
  <si>
    <t>0.0010219528509935</t>
  </si>
  <si>
    <t>0.0010215098216896</t>
  </si>
  <si>
    <t>0.9992323320005324</t>
  </si>
  <si>
    <t>0.0005113237859245</t>
  </si>
  <si>
    <t>3.159332887282074e-23</t>
  </si>
  <si>
    <t>2.3660416448352356e-23</t>
  </si>
  <si>
    <t>2.889583653985111e-23</t>
  </si>
  <si>
    <t>2.1638619240538616e-23</t>
  </si>
  <si>
    <t>2.797354453300262e-23</t>
  </si>
  <si>
    <t>2.0948932070316064e-23</t>
  </si>
  <si>
    <t>3.29361798262312e-23</t>
  </si>
  <si>
    <t>2.4699241597739638e-23</t>
  </si>
  <si>
    <t>0.0010155970475050594</t>
  </si>
  <si>
    <t>0.0007595385613680874</t>
  </si>
  <si>
    <t>0.9992404614386319</t>
  </si>
  <si>
    <t>0.009290435813093797</t>
  </si>
  <si>
    <t>0.006915174252263998</t>
  </si>
  <si>
    <t>0.993084825747736</t>
  </si>
  <si>
    <t>0.025893029174662505</t>
  </si>
  <si>
    <t>0.019000117382832922</t>
  </si>
  <si>
    <t>0.9809998826171671</t>
  </si>
  <si>
    <t>0.10282532472784017</t>
  </si>
  <si>
    <t>0.07169900995795844</t>
  </si>
  <si>
    <t>0.9283009900420415</t>
  </si>
  <si>
    <t>P16</t>
  </si>
  <si>
    <t>II.35.18_4_1</t>
  </si>
  <si>
    <t>n = n_0/(exp(mom*B/(kb*T))+exp(-mom*B/(kb*T)))</t>
  </si>
  <si>
    <t>T*kb*log((n_0 + sqrt(-4*n**2 + n_0**2))/(2*n))/mom</t>
  </si>
  <si>
    <t>T=[1, 3]; n_0=[1, 3]</t>
  </si>
  <si>
    <t>kb=2; mom=2</t>
  </si>
  <si>
    <t>T*log((n_0 + sqrt(-4*n**2 + n_0**2))/(2*n))</t>
  </si>
  <si>
    <t>p0 + p1*log(n**p2) + p1*log(n*atan(acos(atan(n**p3)))**p4) + p5*atan(n)</t>
  </si>
  <si>
    <t>[2.18247763000000, -1, 1/2, 3.01997780000000, -0.698932770000000, -1.15104210000000]</t>
  </si>
  <si>
    <t>0.0004231602941249</t>
  </si>
  <si>
    <t>0.0004227726332525</t>
  </si>
  <si>
    <t>0.9986497212198552</t>
  </si>
  <si>
    <t>1.549300536976747e-07</t>
  </si>
  <si>
    <t>1e+100</t>
  </si>
  <si>
    <t>3.582225705464831e-08</t>
  </si>
  <si>
    <t>1.1479880003835909e-07</t>
  </si>
  <si>
    <t>0.9999998852012</t>
  </si>
  <si>
    <t>0.0004209476396548619</t>
  </si>
  <si>
    <t>0.0013498015589945619</t>
  </si>
  <si>
    <t>0.9986501984410054</t>
  </si>
  <si>
    <t>0.0037920063754892145</t>
  </si>
  <si>
    <t>0.012049647936842729</t>
  </si>
  <si>
    <t>0.9879503520631573</t>
  </si>
  <si>
    <t>0.010416181538190489</t>
  </si>
  <si>
    <t>0.032441374909934095</t>
  </si>
  <si>
    <t>0.9675586250900658</t>
  </si>
  <si>
    <t>0.04176012677063785</t>
  </si>
  <si>
    <t>0.11792941740249847</t>
  </si>
  <si>
    <t>0.8820705825975015</t>
  </si>
  <si>
    <t>P17</t>
  </si>
  <si>
    <t>III.13.18_0_0</t>
  </si>
  <si>
    <t>v = 2*E_n*d**2*k/(h/(2*pi))</t>
  </si>
  <si>
    <t>h*v/(4*pi*d**2*k)</t>
  </si>
  <si>
    <t>v, k</t>
  </si>
  <si>
    <t>d=[1, 5]</t>
  </si>
  <si>
    <t>0.238732616286657*v/(d**2*k)</t>
  </si>
  <si>
    <t>k**p0*v*(p1 + p2*(k**p0*(exp(sin(p6*v) + cos(p4 + p5*v)) + sin(p7*v)) + p3)*sin(v**p8))</t>
  </si>
  <si>
    <t>[-1, 0.0185116720000000, -4.08134070000000e-5, -0.322729080000000, 0.00877205011278480, 0.473865900000000, 1.24091830000000, 2.35818471294005, 1/2]</t>
  </si>
  <si>
    <t>0.0010312860845516</t>
  </si>
  <si>
    <t>0.001030612452681</t>
  </si>
  <si>
    <t>0.9992269896440942</t>
  </si>
  <si>
    <t>9.84214728982036e-06</t>
  </si>
  <si>
    <t>3.956053873771428e-22</t>
  </si>
  <si>
    <t>2.443277390148593e-23</t>
  </si>
  <si>
    <t>3.6029130369550185e-22</t>
  </si>
  <si>
    <t>2.2260090759989438e-23</t>
  </si>
  <si>
    <t>3.719004799792193e-22</t>
  </si>
  <si>
    <t>2.2983753563480657e-23</t>
  </si>
  <si>
    <t>4.128180373570863e-23</t>
  </si>
  <si>
    <t>3.1188332281004056e-23</t>
  </si>
  <si>
    <t>0.001043306588886813</t>
  </si>
  <si>
    <t>0.0007872874500325137</t>
  </si>
  <si>
    <t>0.9992127125499675</t>
  </si>
  <si>
    <t>0.00930620704013912</t>
  </si>
  <si>
    <t>0.006971363978502321</t>
  </si>
  <si>
    <t>0.9930286360214977</t>
  </si>
  <si>
    <t>0.02603284558410384</t>
  </si>
  <si>
    <t>0.019279616014391036</t>
  </si>
  <si>
    <t>0.9807203839856089</t>
  </si>
  <si>
    <t>0.10411648126805537</t>
  </si>
  <si>
    <t>0.07258851573096808</t>
  </si>
  <si>
    <t>0.9274114842690319</t>
  </si>
  <si>
    <t>P18</t>
  </si>
  <si>
    <t>I.27.6_2_0</t>
  </si>
  <si>
    <t>foc = 1/(1/d1+n/d2)</t>
  </si>
  <si>
    <t>d2/foc - d2/d1</t>
  </si>
  <si>
    <t>foc</t>
  </si>
  <si>
    <t>d1=[1, 5]; d2=[1, 5]</t>
  </si>
  <si>
    <t>d2*(1/foc - 1/d1)</t>
  </si>
  <si>
    <t>p0 + p1*(foc + p2*cos(foc*p3)*cos(foc*p6)*cos(foc**p5*p4))**p7</t>
  </si>
  <si>
    <t>[-0.779622100000000, 2.97719930000000, 0.00189494500000000, 10.4514514923575, 0.326141800000000, -5.18736200000000, 1.32761749746757, -1]</t>
  </si>
  <si>
    <t>0.0006454235817301</t>
  </si>
  <si>
    <t>0.00064428225511</t>
  </si>
  <si>
    <t>0.9994264096525596</t>
  </si>
  <si>
    <t>0.0004627007251268</t>
  </si>
  <si>
    <t>2.9404617793703816e-23</t>
  </si>
  <si>
    <t>2.5854805658910997e-23</t>
  </si>
  <si>
    <t>3.2369243572469725e-23</t>
  </si>
  <si>
    <t>2.8428458592251804e-23</t>
  </si>
  <si>
    <t>3.398127504964137e-23</t>
  </si>
  <si>
    <t>2.983632061141441e-23</t>
  </si>
  <si>
    <t>2.5613205593593227e-23</t>
  </si>
  <si>
    <t>2.2388121517019468e-23</t>
  </si>
  <si>
    <t>0.0006416734367815794</t>
  </si>
  <si>
    <t>0.0005633021874239116</t>
  </si>
  <si>
    <t>0.999436697812576</t>
  </si>
  <si>
    <t>0.005782094008491729</t>
  </si>
  <si>
    <t>0.005045042449231761</t>
  </si>
  <si>
    <t>0.9949549575507682</t>
  </si>
  <si>
    <t>0.016264629445307065</t>
  </si>
  <si>
    <t>0.014035521082934698</t>
  </si>
  <si>
    <t>0.9859644789170653</t>
  </si>
  <si>
    <t>0.06467896357559053</t>
  </si>
  <si>
    <t>0.0538796173717436</t>
  </si>
  <si>
    <t>0.9461203826282564</t>
  </si>
  <si>
    <t>P19</t>
  </si>
  <si>
    <t>III.4.33_3_0</t>
  </si>
  <si>
    <t>E_n = (h/(2*pi))*omega/(exp((h/(2*pi))*omega/(kb*T))-1)</t>
  </si>
  <si>
    <t>h*omega/(2*pi*kb*log(1 + h*omega/(2*pi*E_n)))</t>
  </si>
  <si>
    <t>T</t>
  </si>
  <si>
    <t>omega=[1, 5]</t>
  </si>
  <si>
    <t>h=3; kb=3; pi=3.14159</t>
  </si>
  <si>
    <t>0.159155077524438*omega/log(1 + 0.477465232573315*omega/E_n)</t>
  </si>
  <si>
    <t>E_n*p1*(E_n**p5*p4*(p6 + cos(E_n) + cos(E_n**p9*p8 + p7))*cos(E_n*p10) + p3) + p0 + p1*cos(E_n*p2)</t>
  </si>
  <si>
    <t>[0.151541860000000, 0.00193411439319579, 0.808578850000000, 172.491000000000, 0.00126148620000000, 2, 0.843163500000000, 0.00433612146121470, 1.94540050000000, 2.47269710000000, 327.260620000000]</t>
  </si>
  <si>
    <t>0.0010419657375743</t>
  </si>
  <si>
    <t>0.0010410529091123</t>
  </si>
  <si>
    <t>0.9992236871832264</t>
  </si>
  <si>
    <t>0.0004462237233102</t>
  </si>
  <si>
    <t>1.5849682175263834e-06</t>
  </si>
  <si>
    <t>1.2006185502034253e-06</t>
  </si>
  <si>
    <t>0.9999987993814499</t>
  </si>
  <si>
    <t>2.110745815273102e-06</t>
  </si>
  <si>
    <t>1.5988943039523833e-06</t>
  </si>
  <si>
    <t>0.9999984011056962</t>
  </si>
  <si>
    <t>2.489434230733823e-06</t>
  </si>
  <si>
    <t>1.8857655929168233e-06</t>
  </si>
  <si>
    <t>0.9999981142344071</t>
  </si>
  <si>
    <t>3.6110882098887484e-06</t>
  </si>
  <si>
    <t>2.725669777424361e-06</t>
  </si>
  <si>
    <t>0.9999972743302226</t>
  </si>
  <si>
    <t>0.0010314547574680416</t>
  </si>
  <si>
    <t>0.0007759327727858828</t>
  </si>
  <si>
    <t>0.9992240672272141</t>
  </si>
  <si>
    <t>0.009298028940886452</t>
  </si>
  <si>
    <t>0.006944769293347435</t>
  </si>
  <si>
    <t>0.9930552307066526</t>
  </si>
  <si>
    <t>0.025989274180086813</t>
  </si>
  <si>
    <t>0.01920164010715542</t>
  </si>
  <si>
    <t>0.9807983598928445</t>
  </si>
  <si>
    <t>0.10344573013967523</t>
  </si>
  <si>
    <t>0.07211995728296584</t>
  </si>
  <si>
    <t>0.9278800427170342</t>
  </si>
  <si>
    <t>P20</t>
  </si>
  <si>
    <t>III.9.52_1_0</t>
  </si>
  <si>
    <t>prob = (p_d*Ef*t/(h/(2*pi)))*sin((omega-omega_0)*t/2)**2/((omega-omega_0)*t/2)**2</t>
  </si>
  <si>
    <t>h*prob*t*(omega - omega_0)**2/(4*pi*p_d*(1 - cos(t*(omega - omega_0))))</t>
  </si>
  <si>
    <t>prob, t, omega</t>
  </si>
  <si>
    <t>p_d=[1, 3]; omega_0=[3, 5]</t>
  </si>
  <si>
    <t>h=2; pi=3.14159</t>
  </si>
  <si>
    <t>0.159155077524438*prob*t*(omega - omega_0)**2/(p_d*(1 - cos(t*(omega - omega_0))))</t>
  </si>
  <si>
    <t>omega**p0*t*(p1*prob + p2*(p0*sin(omega*p3 + p4*t) + p5*prob)*sin(omega + p0*t*(omega**p9*p0 + p8))*sin(p6 + p7*t))</t>
  </si>
  <si>
    <t>[-1, 0.371086450000000, -1.35974300000000, 2, -1.81493350000000, 0.470452040000000, -0.939362815075212, 0.733021740000000, 2.27240970000000, 1/2]</t>
  </si>
  <si>
    <t>0.010821699389399</t>
  </si>
  <si>
    <t>0.0086630512454326</t>
  </si>
  <si>
    <t>0.9673017068053232</t>
  </si>
  <si>
    <t>0.0156001888262995</t>
  </si>
  <si>
    <t>359198738974902.75</t>
  </si>
  <si>
    <t>0.9982901022196642</t>
  </si>
  <si>
    <t>0.0017098977803357562</t>
  </si>
  <si>
    <t>192701300888397.12</t>
  </si>
  <si>
    <t>0.997572631988273</t>
  </si>
  <si>
    <t>0.0024273680117270074</t>
  </si>
  <si>
    <t>3692118176786491.0</t>
  </si>
  <si>
    <t>0.9974403320400645</t>
  </si>
  <si>
    <t>0.002559667959935452</t>
  </si>
  <si>
    <t>0.008797955786362038</t>
  </si>
  <si>
    <t>0.026532192914034462</t>
  </si>
  <si>
    <t>0.9734678070859655</t>
  </si>
  <si>
    <t>0.009220731656205555</t>
  </si>
  <si>
    <t>0.027759979097630644</t>
  </si>
  <si>
    <t>0.9722400209023694</t>
  </si>
  <si>
    <t>0.012688970638983423</t>
  </si>
  <si>
    <t>0.03784107257612854</t>
  </si>
  <si>
    <t>0.9621589274238715</t>
  </si>
  <si>
    <t>0.019481860493630897</t>
  </si>
  <si>
    <t>0.057095532962002885</t>
  </si>
  <si>
    <t>0.9429044670379971</t>
  </si>
  <si>
    <t>0.05099749000326577</t>
  </si>
  <si>
    <t>0.1369609830354066</t>
  </si>
  <si>
    <t>0.8630390169645933</t>
  </si>
  <si>
    <t>P21</t>
  </si>
  <si>
    <t>II.21.32_3_0</t>
  </si>
  <si>
    <t>Volt = q/(4*pi*epsilon*r*(1-v/c))</t>
  </si>
  <si>
    <t>c - c*q/(4*pi*Volt*epsilon*r)</t>
  </si>
  <si>
    <t>Volt, r</t>
  </si>
  <si>
    <t>c=6.5; epsilon=3; pi=3.14159</t>
  </si>
  <si>
    <t>6.5 - 0.172418000651475*q/(Volt*r)</t>
  </si>
  <si>
    <t>p0*log(Volt*r*(Volt**p4*p3*(p5 + cos(Volt**p7*p6))*cos(p8*r + p8*atan(r*atan(Volt)**p7)) + p2) + p1)</t>
  </si>
  <si>
    <t>[2.45698430000000, -1.89966250000000, 29.3253860000000, -1.18938818347597, 2, 0.903872700000000, 3.87739175456358, -1, 139.288680000000]</t>
  </si>
  <si>
    <t>0.0002408563742944</t>
  </si>
  <si>
    <t>0.0002407447911014</t>
  </si>
  <si>
    <t>0.9970985075799184</t>
  </si>
  <si>
    <t>0.0001520768104516</t>
  </si>
  <si>
    <t>P22</t>
  </si>
  <si>
    <t>I.15.3t_0_0</t>
  </si>
  <si>
    <t>t1 = (t-u*x/c**2)/sqrt(1-u**2/c**2)</t>
  </si>
  <si>
    <t>c**2*(t - t1*sqrt((c**2 - u**2)/c**2))/u</t>
  </si>
  <si>
    <t>t, t1</t>
  </si>
  <si>
    <t>u=[1, 2]</t>
  </si>
  <si>
    <t>42.25*(t - t1*sqrt(1.0 - 0.0236686390532544*u**2))/u</t>
  </si>
  <si>
    <t>p0 + p1*t + p2*t1 + (p3*t1 + t)*(p4 + p5*cos(p6*t**p6*(p3*t1 + p7)) + p5*tanh(t))</t>
  </si>
  <si>
    <t>[0.00248189800000000, 3, -2.40027300000000, -1, 32.4312320000000, 0.0508511070000000, 2, -0.939307450000000]</t>
  </si>
  <si>
    <t>0.0010174241798524</t>
  </si>
  <si>
    <t>0.0010168483983898</t>
  </si>
  <si>
    <t>0.9992373251991606</t>
  </si>
  <si>
    <t>0.000133689424597</t>
  </si>
  <si>
    <t>1.3735721504743678e-20</t>
  </si>
  <si>
    <t>6.617992160738153e-24</t>
  </si>
  <si>
    <t>9.363329516946247e-21</t>
  </si>
  <si>
    <t>6.259703673902772e-24</t>
  </si>
  <si>
    <t>7.699199421855574e-21</t>
  </si>
  <si>
    <t>6.0992189067631746e-24</t>
  </si>
  <si>
    <t>1.6233454861152078e-20</t>
  </si>
  <si>
    <t>1.2188034350123484e-20</t>
  </si>
  <si>
    <t>0.0010329350775809864</t>
  </si>
  <si>
    <t>0.0007768663628574448</t>
  </si>
  <si>
    <t>0.9992231336371425</t>
  </si>
  <si>
    <t>0.009306856459797126</t>
  </si>
  <si>
    <t>0.006954077689503519</t>
  </si>
  <si>
    <t>0.9930459223104965</t>
  </si>
  <si>
    <t>0.025776624499909723</t>
  </si>
  <si>
    <t>0.01907911598962495</t>
  </si>
  <si>
    <t>0.9809208840103751</t>
  </si>
  <si>
    <t>0.10316912908064615</t>
  </si>
  <si>
    <t>0.07200227324667632</t>
  </si>
  <si>
    <t>0.9279977267533237</t>
  </si>
  <si>
    <t>P23</t>
  </si>
  <si>
    <t>II.13.23_1_0</t>
  </si>
  <si>
    <t>rho_c = rho_c_0/sqrt(1-v**2/c**2)</t>
  </si>
  <si>
    <t>c*sqrt(1 - rho_c_0**2/rho_c**2)</t>
  </si>
  <si>
    <t>rho_c</t>
  </si>
  <si>
    <t>rho_c_0=[1, 5]</t>
  </si>
  <si>
    <t>6.5*sqrt(1 - rho_c_0**2/rho_c**2)</t>
  </si>
  <si>
    <t>p0 + (p1 + rho_c)*(p2*cos(rho_c)**p3 + rho_c)</t>
  </si>
  <si>
    <t>[0.840182500000000, -0.247740570000000, 0.159759360000000, -1]</t>
  </si>
  <si>
    <t>[p0, p1, p2, p3]</t>
  </si>
  <si>
    <t>41.15787569230879</t>
  </si>
  <si>
    <t>0.0019864779768856</t>
  </si>
  <si>
    <t>0.0008076291815648</t>
  </si>
  <si>
    <t>1.9995649874235708</t>
  </si>
  <si>
    <t>25.013431063015055</t>
  </si>
  <si>
    <t>3.3555551658006664</t>
  </si>
  <si>
    <t>42.285913707789874</t>
  </si>
  <si>
    <t>6.035266396307296</t>
  </si>
  <si>
    <t>76.06555564282579</t>
  </si>
  <si>
    <t>3.646049646210462e-05</t>
  </si>
  <si>
    <t>0.0004561930462808437</t>
  </si>
  <si>
    <t>0.9995438069537191</t>
  </si>
  <si>
    <t>1.370152393931914</t>
  </si>
  <si>
    <t>17.05886762576798</t>
  </si>
  <si>
    <t>1.3719609098896521</t>
  </si>
  <si>
    <t>16.736100423579067</t>
  </si>
  <si>
    <t>0.006358568102239311</t>
  </si>
  <si>
    <t>0.07345919530059543</t>
  </si>
  <si>
    <t>0.9265408046994046</t>
  </si>
  <si>
    <t>1.395664658389627</t>
  </si>
  <si>
    <t>13.201478724399974</t>
  </si>
  <si>
    <t>P24</t>
  </si>
  <si>
    <t>I.10.7_1_0</t>
  </si>
  <si>
    <t>m = m_0/sqrt(1-v**2/c**2)</t>
  </si>
  <si>
    <t>c*sqrt(1 - m_0**2/m**2)</t>
  </si>
  <si>
    <t>m</t>
  </si>
  <si>
    <t>m_0=[1, 5]</t>
  </si>
  <si>
    <t>6.5*sqrt(1 - m_0**2/m**2)</t>
  </si>
  <si>
    <t>p0 + p4*atan(p5*(p6 + sin(m))*sin(m*p8 + p7)) + ((p1 + p2*cos(m))**sin(m))**p3</t>
  </si>
  <si>
    <t>[0.00586067840000000, -9.16174300000000, -48.2665200000000, 1/2, -1, 0.172436220000000, -0.976649760000000, -5995.52665057871, 12148.5780818270]</t>
  </si>
  <si>
    <t>0.000264851183151</t>
  </si>
  <si>
    <t>0.0002643283809213</t>
  </si>
  <si>
    <t>0.9967109396258036</t>
  </si>
  <si>
    <t>1.2160138558251054e-07</t>
  </si>
  <si>
    <t>0.020087178829377907</t>
  </si>
  <si>
    <t>0.24986209074668955</t>
  </si>
  <si>
    <t>0.7501379092533105</t>
  </si>
  <si>
    <t>0.020123674225313335</t>
  </si>
  <si>
    <t>0.24997018725071873</t>
  </si>
  <si>
    <t>0.7500298127492813</t>
  </si>
  <si>
    <t>0.049046685085063296</t>
  </si>
  <si>
    <t>0.6127063693386505</t>
  </si>
  <si>
    <t>0.3872936306613495</t>
  </si>
  <si>
    <t>0.05477270010886236</t>
  </si>
  <si>
    <t>0.6792243228157688</t>
  </si>
  <si>
    <t>0.3207756771842311</t>
  </si>
  <si>
    <t>0.045383935767069734</t>
  </si>
  <si>
    <t>0.5612611991144413</t>
  </si>
  <si>
    <t>0.4387388008855587</t>
  </si>
  <si>
    <t>0.029465225947010634</t>
  </si>
  <si>
    <t>0.3559461457190787</t>
  </si>
  <si>
    <t>0.6440538542809213</t>
  </si>
  <si>
    <t>0.038327056035854415</t>
  </si>
  <si>
    <t>0.4432797816369599</t>
  </si>
  <si>
    <t>0.5567202183630402</t>
  </si>
  <si>
    <t>0.07132708979927366</t>
  </si>
  <si>
    <t>0.6787932590395697</t>
  </si>
  <si>
    <t>0.3212067409604302</t>
  </si>
  <si>
    <t>P25</t>
  </si>
  <si>
    <t>II.15.5_1_0</t>
  </si>
  <si>
    <t>E_n = -p_d*Ef*cos(theta)</t>
  </si>
  <si>
    <t>p_d=[1, 5]</t>
  </si>
  <si>
    <t>E_n*p0*(E_n*p2*(p3*sin(E_n*p1) + p3*sin(p4*theta) + cos(E_n + p5))*sin(E_n + p6) + p1)**p3*cos(theta)**p3</t>
  </si>
  <si>
    <t>[-0.987002430000000, 4.07745700000000, 0.000584012770000000, -1, 79029.4051029919, 0.737069130000000, 0.229752210000000]</t>
  </si>
  <si>
    <t>0.0010271036164137</t>
  </si>
  <si>
    <t>0.0010263240532867</t>
  </si>
  <si>
    <t>0.9992328537878366</t>
  </si>
  <si>
    <t>9.569600034154122e-05</t>
  </si>
  <si>
    <t>9.683055149386611e-16</t>
  </si>
  <si>
    <t>1.7964304256514975e-16</t>
  </si>
  <si>
    <t>0.9999999999999998</t>
  </si>
  <si>
    <t>4.76206344805532e-14</t>
  </si>
  <si>
    <t>8.74925114581414e-15</t>
  </si>
  <si>
    <t>0.9999999999999913</t>
  </si>
  <si>
    <t>2.0325387623840226e-14</t>
  </si>
  <si>
    <t>3.7315740018488084e-15</t>
  </si>
  <si>
    <t>0.9999999999999962</t>
  </si>
  <si>
    <t>2.808543959978584e-14</t>
  </si>
  <si>
    <t>2.0645756578692242e-14</t>
  </si>
  <si>
    <t>0.9999999999999793</t>
  </si>
  <si>
    <t>0.0010391529369718371</t>
  </si>
  <si>
    <t>0.0007710415956937594</t>
  </si>
  <si>
    <t>0.9992289584043063</t>
  </si>
  <si>
    <t>0.009299512127537934</t>
  </si>
  <si>
    <t>0.006868381795066157</t>
  </si>
  <si>
    <t>0.9931316182049339</t>
  </si>
  <si>
    <t>0.02598518198017451</t>
  </si>
  <si>
    <t>0.018947750535239866</t>
  </si>
  <si>
    <t>0.9810522494647602</t>
  </si>
  <si>
    <t>0.10410519629707726</t>
  </si>
  <si>
    <t>0.07179079827884485</t>
  </si>
  <si>
    <t>0.9282092017211552</t>
  </si>
  <si>
    <t>P26</t>
  </si>
  <si>
    <t>Newton cooling</t>
  </si>
  <si>
    <t>T = Ta + (T0-Ta)*exp(-k*t)</t>
  </si>
  <si>
    <t>t</t>
  </si>
  <si>
    <t>T0=[340, 380]; Ta=[285, 305]; k=[0.02, 0.08]</t>
  </si>
  <si>
    <t>p0*(T**p1*p3*exp(p1*cos(T*p6))*cos(T*p5 + p4) + T**p1*(T + p2))*(T*p10 + p7 + p8*(T + p9)**p1)</t>
  </si>
  <si>
    <t>[0.965564400000000, -1, -2.57751920000000, 0.245946600000000, 0.560977600000000, 500.408170000000, 1.74019482873264, -2.90661760000000, 1983.91360000000, -258.756680000000, -0.0487634500000000]</t>
  </si>
  <si>
    <t>0.0028735077149075</t>
  </si>
  <si>
    <t>0.0028639459139931</t>
  </si>
  <si>
    <t>0.99964925816847</t>
  </si>
  <si>
    <t>0.0009927914970886</t>
  </si>
  <si>
    <t>1.1788897757173914e-10</t>
  </si>
  <si>
    <t>1.444790310814188e-11</t>
  </si>
  <si>
    <t>0.9999999999855521</t>
  </si>
  <si>
    <t>1.9928314331024733e-05</t>
  </si>
  <si>
    <t>3.687948886813872e-06</t>
  </si>
  <si>
    <t>0.9999963120511132</t>
  </si>
  <si>
    <t>0.00023840031057033366</t>
  </si>
  <si>
    <t>6.532448293235165e-05</t>
  </si>
  <si>
    <t>0.9999346755170677</t>
  </si>
  <si>
    <t>3.7533944790328365e-09</t>
  </si>
  <si>
    <t>4.5743339903710054e-10</t>
  </si>
  <si>
    <t>0.9999999995425666</t>
  </si>
  <si>
    <t>0.002953485665528185</t>
  </si>
  <si>
    <t>0.0003570878070342523</t>
  </si>
  <si>
    <t>0.9996429121929657</t>
  </si>
  <si>
    <t>0.02664422922366526</t>
  </si>
  <si>
    <t>0.003213375860561439</t>
  </si>
  <si>
    <t>0.9967866241394385</t>
  </si>
  <si>
    <t>0.0735965776975229</t>
  </si>
  <si>
    <t>0.008832120237228683</t>
  </si>
  <si>
    <t>0.9911678797627713</t>
  </si>
  <si>
    <t>0.29849052725526737</t>
  </si>
  <si>
    <t>0.034824198124474626</t>
  </si>
  <si>
    <t>0.9651758018755254</t>
  </si>
  <si>
    <t>P27</t>
  </si>
  <si>
    <t>Magnetic field on axis of current loop</t>
  </si>
  <si>
    <t>B = mu0*I*R**2/(2*(R**2+z**2)**(3/2))</t>
  </si>
  <si>
    <t>sqrt((mu0*I*R**2/(2*B))**(2/3) - R**2)</t>
  </si>
  <si>
    <t>z</t>
  </si>
  <si>
    <t>I=[2, 5]; R=[1, 2]</t>
  </si>
  <si>
    <t>mu0=1</t>
  </si>
  <si>
    <t>sqrt(-R**2 + 2**(1/3)*(I*R**2/B)**(2/3)/2)</t>
  </si>
  <si>
    <t>p0 + ((p7 + (B**p4*(B + p8)**p9)**p10)*(B*p2 + p1 + p3*(B + p6)*(B**p4)**p5)**p4)**p11</t>
  </si>
  <si>
    <t>[-0.140808180000000, 0.343478680000000, 0.0182034700000000, 0.0530470165416941, -1, -1/2, 0.000925313335914012, -0.605581760000000, 0.000925313600000000, 1/2, 1.87770770000000, 0.370349140000000]</t>
  </si>
  <si>
    <t>[p0, p1, p2, p3, p4, p5, p6, p7, p8, p9, p10, p11]</t>
  </si>
  <si>
    <t>0.0001762837638017</t>
  </si>
  <si>
    <t>0.0001733981231716</t>
  </si>
  <si>
    <t>0.9996044037588216</t>
  </si>
  <si>
    <t>7.4364538919763795e-06</t>
  </si>
  <si>
    <t>1.0577676062768422e-06</t>
  </si>
  <si>
    <t>2.441031677593206e-06</t>
  </si>
  <si>
    <t>0.9999975589683224</t>
  </si>
  <si>
    <t>9.803014251293419e-06</t>
  </si>
  <si>
    <t>2.1843806841987615e-05</t>
  </si>
  <si>
    <t>0.999978156193158</t>
  </si>
  <si>
    <t>1.13964224982224e-06</t>
  </si>
  <si>
    <t>2.427479063813372e-06</t>
  </si>
  <si>
    <t>0.9999975725209362</t>
  </si>
  <si>
    <t>1.7746628697017046e-05</t>
  </si>
  <si>
    <t>3.921476319937337e-05</t>
  </si>
  <si>
    <t>0.9999607852368007</t>
  </si>
  <si>
    <t>0.00021033947963356069</t>
  </si>
  <si>
    <t>0.0004501257109164427</t>
  </si>
  <si>
    <t>0.9995498742890836</t>
  </si>
  <si>
    <t>0.001749027476527297</t>
  </si>
  <si>
    <t>0.0037208556070255513</t>
  </si>
  <si>
    <t>0.9962791443929744</t>
  </si>
  <si>
    <t>0.004836076077111701</t>
  </si>
  <si>
    <t>0.0102062400250558</t>
  </si>
  <si>
    <t>0.9897937599749442</t>
  </si>
  <si>
    <t>0.01908564718800133</t>
  </si>
  <si>
    <t>0.039075619729129644</t>
  </si>
  <si>
    <t>0.9609243802708703</t>
  </si>
  <si>
    <t>P28</t>
  </si>
  <si>
    <t>Kepler third law (Newtonian two-body form)</t>
  </si>
  <si>
    <t>t = 2*pi*d**(3/2)/sqrt(G*(m1+m2))</t>
  </si>
  <si>
    <t>(G*M*T**2/(4*pi**2))**(1/3)</t>
  </si>
  <si>
    <t>M=[2, 6]</t>
  </si>
  <si>
    <t>G=2; pi=3.14159</t>
  </si>
  <si>
    <t>0.233097169776895*2**(2/3)*(M*T**2)**(1/3)</t>
  </si>
  <si>
    <t>p0*(T**p1)**p2 + p3*(p4 + p7*sin(T) + ((p1*atan(p5 + sin(p6 + exp(T))))**sin(T))**T)**p8</t>
  </si>
  <si>
    <t>[0.639970676732726, -1, -0.661097170000000, -0.0180228260000000, 1.68157370000000, -1.68158650000000, -2.07694910000000, 0.509085314706105, -0.228279550000000]</t>
  </si>
  <si>
    <t>0.0004666755010971</t>
  </si>
  <si>
    <t>0.0004660032211849</t>
  </si>
  <si>
    <t>0.9985494555770532</t>
  </si>
  <si>
    <t>0.0001544579000021</t>
  </si>
  <si>
    <t>1.1577657738036817e-23</t>
  </si>
  <si>
    <t>3.5613648831955615e-23</t>
  </si>
  <si>
    <t>4.331619754159196e-22</t>
  </si>
  <si>
    <t>1.3517131422682317e-21</t>
  </si>
  <si>
    <t>7.636456650508092e-23</t>
  </si>
  <si>
    <t>2.378902762686354e-22</t>
  </si>
  <si>
    <t>1.339253152872033e-23</t>
  </si>
  <si>
    <t>4.164006057449821e-23</t>
  </si>
  <si>
    <t>0.0004558172930164479</t>
  </si>
  <si>
    <t>0.001416405209750571</t>
  </si>
  <si>
    <t>0.9985835947902495</t>
  </si>
  <si>
    <t>0.00419612242037269</t>
  </si>
  <si>
    <t>0.0128930329009296</t>
  </si>
  <si>
    <t>0.9871069670990704</t>
  </si>
  <si>
    <t>0.011744454612562247</t>
  </si>
  <si>
    <t>0.03528651872967621</t>
  </si>
  <si>
    <t>0.9647134812703239</t>
  </si>
  <si>
    <t>0.04630544873948166</t>
  </si>
  <si>
    <t>0.12563350085953473</t>
  </si>
  <si>
    <t>0.8743664991404654</t>
  </si>
  <si>
    <t>P29</t>
  </si>
  <si>
    <t>Uniform-acceleration position</t>
  </si>
  <si>
    <t>x = x0 + v0*t + 0.5*a*t**2</t>
  </si>
  <si>
    <t>(-v0 + sqrt(v0**2 + 2*a*(x-x0)))/a</t>
  </si>
  <si>
    <t>x0=[0, 2]; v0=[1, 4]; a=[0.5, 2]</t>
  </si>
  <si>
    <t>(-v0 + sqrt(2*a*(x - x0) + v0**2))/a</t>
  </si>
  <si>
    <t>p0 + x*(p4 + p5*x*(cos(p6*x**p7) + cos(p8*x)) + p5*x)*cos(x)*cos(p9*x) + (p1 + p2*x)**p3</t>
  </si>
  <si>
    <t>[-2.31448600000000, 3.38447496497747, 1.56420430000000, 1/2, -1.44155955384000e-5, -9.89385600000000e-6, 0.730333750000000, 2, 3.64751388736200, 0.187837000000000]</t>
  </si>
  <si>
    <t>0.0010704667668099</t>
  </si>
  <si>
    <t>0.0010683272125338</t>
  </si>
  <si>
    <t>0.9994198600207184</t>
  </si>
  <si>
    <t>1.2605690383174888e-05</t>
  </si>
  <si>
    <t>1.931919988951425e-23</t>
  </si>
  <si>
    <t>1.0403966829791273e-23</t>
  </si>
  <si>
    <t>1.753185966235112e-23</t>
  </si>
  <si>
    <t>9.51915438843879e-24</t>
  </si>
  <si>
    <t>3.306893608007136e-22</t>
  </si>
  <si>
    <t>1.785442803556639e-22</t>
  </si>
  <si>
    <t>2.1820332665918434e-21</t>
  </si>
  <si>
    <t>1.1396580830207756e-21</t>
  </si>
  <si>
    <t>0.0010496676777686708</t>
  </si>
  <si>
    <t>0.0005600357529839865</t>
  </si>
  <si>
    <t>0.999439964247016</t>
  </si>
  <si>
    <t>0.009469318280939042</t>
  </si>
  <si>
    <t>0.00503110337657619</t>
  </si>
  <si>
    <t>0.9949688966234238</t>
  </si>
  <si>
    <t>0.02672849021295889</t>
  </si>
  <si>
    <t>0.014054129972777486</t>
  </si>
  <si>
    <t>0.9859458700272226</t>
  </si>
  <si>
    <t>0.10567450758045341</t>
  </si>
  <si>
    <t>0.05317987898087754</t>
  </si>
  <si>
    <t>0.9468201210191225</t>
  </si>
  <si>
    <t>P30</t>
  </si>
  <si>
    <t>Linear-drag velocity relaxation</t>
  </si>
  <si>
    <t>v = v_inf + (v0-v_inf)*exp(-t/tau)</t>
  </si>
  <si>
    <t>v_inf=[0, 2]; v0=[8, 12]; tau=[1, 4]</t>
  </si>
  <si>
    <t>(p0 + p1*v**p2*cos(p3*v)*cos(p4 + v))*(p5 + p6*log(p7 + v))</t>
  </si>
  <si>
    <t>[2.38260410000000, -0.0105444956098520, -2, 2017.94730000000, -0.623766360000000, 2.34366440000000, -1, -0.623752800000000]</t>
  </si>
  <si>
    <t>0.0010179318504385</t>
  </si>
  <si>
    <t>0.0009733641078515</t>
  </si>
  <si>
    <t>0.9997714678237072</t>
  </si>
  <si>
    <t>0.000214689844633</t>
  </si>
  <si>
    <t>3.2423829268179194e-22</t>
  </si>
  <si>
    <t>6.239589762246581e-23</t>
  </si>
  <si>
    <t>2.4922955935586713e-22</t>
  </si>
  <si>
    <t>4.533435166373309e-23</t>
  </si>
  <si>
    <t>2.9098182725390114e-22</t>
  </si>
  <si>
    <t>6.098758424640349e-23</t>
  </si>
  <si>
    <t>1.1020874421527327e-21</t>
  </si>
  <si>
    <t>3.4421746529592375e-22</t>
  </si>
  <si>
    <t>0.0008684650915102151</t>
  </si>
  <si>
    <t>0.000218662527826218</t>
  </si>
  <si>
    <t>0.9997813374721738</t>
  </si>
  <si>
    <t>0.007716161227345169</t>
  </si>
  <si>
    <t>0.0019334902283140425</t>
  </si>
  <si>
    <t>0.998066509771686</t>
  </si>
  <si>
    <t>0.021786386780234465</t>
  </si>
  <si>
    <t>0.005448951209302456</t>
  </si>
  <si>
    <t>0.9945510487906976</t>
  </si>
  <si>
    <t>0.08588580207619348</t>
  </si>
  <si>
    <t>0.0212596835789745</t>
  </si>
  <si>
    <t>0.9787403164210254</t>
  </si>
  <si>
    <t>P31</t>
  </si>
  <si>
    <t>Quadratic-drag terminal fall from rest</t>
  </si>
  <si>
    <t>v = v_t*tanh(g*t/v_t)</t>
  </si>
  <si>
    <t>(v_t/g)*atanh(v/v_t)</t>
  </si>
  <si>
    <t>v_t=[20, 50]</t>
  </si>
  <si>
    <t>g=9.81</t>
  </si>
  <si>
    <t>0.101936799184506*v_t*atanh(v/v_t)</t>
  </si>
  <si>
    <t>(p0 + p1*v**p2*(p3*(p4 + sin(v*(p5 + p6*v**p7)))*sin(v**v) + v))*atanh(p6 + Mod(p8 + p9*v, p2))</t>
  </si>
  <si>
    <t>[-2.72023400000000, -2.12774760000000e-6, 2, 4.25497838853927, -1.20771720000000, 0.286532580000000, -1, 1.85164050000000, 1.00000000000000, -0.0374465200000000]</t>
  </si>
  <si>
    <t>0.0002510117968812</t>
  </si>
  <si>
    <t>0.0002496047338519</t>
  </si>
  <si>
    <t>0.999647593880227</t>
  </si>
  <si>
    <t>0.0002754824458175</t>
  </si>
  <si>
    <t>1.4327265202817423e-23</t>
  </si>
  <si>
    <t>2.017142398398915e-23</t>
  </si>
  <si>
    <t>1.4329730388312244e-23</t>
  </si>
  <si>
    <t>2.01479138255517e-23</t>
  </si>
  <si>
    <t>1.421775611722839e-23</t>
  </si>
  <si>
    <t>1.998230074595294e-23</t>
  </si>
  <si>
    <t>1.6632457779942088e-23</t>
  </si>
  <si>
    <t>2.4542820740525562e-23</t>
  </si>
  <si>
    <t>0.00023807048567263677</t>
  </si>
  <si>
    <t>0.00034867244870352715</t>
  </si>
  <si>
    <t>0.9996513275512965</t>
  </si>
  <si>
    <t>0.00210693229654566</t>
  </si>
  <si>
    <t>0.003081061222046289</t>
  </si>
  <si>
    <t>0.9969189387779538</t>
  </si>
  <si>
    <t>0.005856353307588071</t>
  </si>
  <si>
    <t>0.008522484058614851</t>
  </si>
  <si>
    <t>0.9914775159413851</t>
  </si>
  <si>
    <t>0.02367343786581636</t>
  </si>
  <si>
    <t>0.03347320128666616</t>
  </si>
  <si>
    <t>0.9665267987133338</t>
  </si>
  <si>
    <t>P32</t>
  </si>
  <si>
    <t>Bernoulli pressure-speed relation</t>
  </si>
  <si>
    <t>P = P0 - 0.5*rho*v**2</t>
  </si>
  <si>
    <t>sqrt(2*(P0-P)/rho)</t>
  </si>
  <si>
    <t>P</t>
  </si>
  <si>
    <t>P0=[8, 12]; rho=[1, 3]</t>
  </si>
  <si>
    <t>sqrt(2)*sqrt((-P + P0)/rho)</t>
  </si>
  <si>
    <t>(P*p1 + p0 + p2*(P**P*p4*(p5 + cos(P*p6)) + p3)**p4)**p7</t>
  </si>
  <si>
    <t>[8.45781774547450, -0.768158919718398, -0.959357929972180, 0.727697495762345, -1, 0.0571483450000000, 1.33286950000000, 1/2]</t>
  </si>
  <si>
    <t>0.0998070693313355</t>
  </si>
  <si>
    <t>0.0015073300537403</t>
  </si>
  <si>
    <t>0.552913780956898</t>
  </si>
  <si>
    <t>0.0006449333191119</t>
  </si>
  <si>
    <t>0.00032375672112586645</t>
  </si>
  <si>
    <t>0.0014267949442243316</t>
  </si>
  <si>
    <t>0.9985732050557756</t>
  </si>
  <si>
    <t>1.0257789515560563e-08</t>
  </si>
  <si>
    <t>4.648891411840273e-08</t>
  </si>
  <si>
    <t>0.999999953511086</t>
  </si>
  <si>
    <t>0.00039860001687751467</t>
  </si>
  <si>
    <t>0.0017374751722556642</t>
  </si>
  <si>
    <t>0.9982625248277444</t>
  </si>
  <si>
    <t>0.0015196213889436898</t>
  </si>
  <si>
    <t>0.006837918224936904</t>
  </si>
  <si>
    <t>0.993162081775063</t>
  </si>
  <si>
    <t>0.0003541924255187631</t>
  </si>
  <si>
    <t>0.001587678823803115</t>
  </si>
  <si>
    <t>0.9984123211761969</t>
  </si>
  <si>
    <t>0.0020074544282379565</t>
  </si>
  <si>
    <t>0.008948676374768857</t>
  </si>
  <si>
    <t>0.9910513236252312</t>
  </si>
  <si>
    <t>0.005976138572765979</t>
  </si>
  <si>
    <t>0.026262883360128365</t>
  </si>
  <si>
    <t>0.9737371166398716</t>
  </si>
  <si>
    <t>0.020147597700153713</t>
  </si>
  <si>
    <t>0.08318854889104675</t>
  </si>
  <si>
    <t>0.9168114511089532</t>
  </si>
  <si>
    <t>P33</t>
  </si>
  <si>
    <t>Mixed linear-quadratic drag</t>
  </si>
  <si>
    <t>F_drag = b*v + c2*v**2</t>
  </si>
  <si>
    <t>(-b + sqrt(b**2 + 4*c2*F_drag))/(2*c2)</t>
  </si>
  <si>
    <t>F_drag</t>
  </si>
  <si>
    <t>b=[0.5, 2]; c2=[0.1, 0.5]</t>
  </si>
  <si>
    <t>(-b + sqrt(4*F_drag*c2 + b**2))/(2*c2)</t>
  </si>
  <si>
    <t>F_drag*p2*(F_drag + p3)**p4 + p0 + p1 + p5*p6**sin(F_drag)*(F_drag + p7)*cos(F_drag*p8*(F_drag + p3) + F_drag*p8)</t>
  </si>
  <si>
    <t>[0.133290280000000, -0.129755780000000, 1.29826220000000, 2.76258590000000, -0.410314860000000, -4.23657900000000e-5, 0.0145153060000000, -4.60586170000000, 7.70725977627366]</t>
  </si>
  <si>
    <t>0.0010175985908529</t>
  </si>
  <si>
    <t>0.0010171237025345</t>
  </si>
  <si>
    <t>0.9994651072678103</t>
  </si>
  <si>
    <t>0.0009946062650351</t>
  </si>
  <si>
    <t>7.115461395454844e-07</t>
  </si>
  <si>
    <t>3.792427108769847e-07</t>
  </si>
  <si>
    <t>0.9999996207572892</t>
  </si>
  <si>
    <t>1.968791980924087e-06</t>
  </si>
  <si>
    <t>1.0899964896682023e-06</t>
  </si>
  <si>
    <t>0.9999989100035103</t>
  </si>
  <si>
    <t>2.6019887062789544e-06</t>
  </si>
  <si>
    <t>1.464308464796886e-06</t>
  </si>
  <si>
    <t>0.9999985356915352</t>
  </si>
  <si>
    <t>1.4209461753371955e-06</t>
  </si>
  <si>
    <t>7.840039221421003e-07</t>
  </si>
  <si>
    <t>0.9999992159960778</t>
  </si>
  <si>
    <t>0.0010750942729307097</t>
  </si>
  <si>
    <t>0.0005873254156044603</t>
  </si>
  <si>
    <t>0.9994126745843955</t>
  </si>
  <si>
    <t>0.009606127486720482</t>
  </si>
  <si>
    <t>0.005217469049171905</t>
  </si>
  <si>
    <t>0.994782530950828</t>
  </si>
  <si>
    <t>0.026793189088796583</t>
  </si>
  <si>
    <t>0.014414784097971043</t>
  </si>
  <si>
    <t>0.985585215902029</t>
  </si>
  <si>
    <t>0.10732906705762221</t>
  </si>
  <si>
    <t>0.055277364797056174</t>
  </si>
  <si>
    <t>0.9447226352029439</t>
  </si>
  <si>
    <t>P34</t>
  </si>
  <si>
    <t>Vis-viva orbital speed</t>
  </si>
  <si>
    <t>v = sqrt(G*M*(2/r - 1/a_orbit))</t>
  </si>
  <si>
    <t>2*G*M*a_orbit/(a_orbit*v**2 + G*M)</t>
  </si>
  <si>
    <t>M=[2, 5]; a_orbit=[4, 8]</t>
  </si>
  <si>
    <t>G=1</t>
  </si>
  <si>
    <t>2*M*a_orbit/(M + a_orbit*v**2)</t>
  </si>
  <si>
    <t>p0*(p1 + v**p2)**p3 + p4*(p1 + p5*v)**p3*(p3*v + p6)**p3</t>
  </si>
  <si>
    <t>[6.14297005953683, 0.564893300000000, 2, -1, 2.77759480000000e-6, -0.987697540000000, 1.03564790000000]</t>
  </si>
  <si>
    <t>0.0039783888604558</t>
  </si>
  <si>
    <t>0.0028756397588628</t>
  </si>
  <si>
    <t>0.9980127804340668</t>
  </si>
  <si>
    <t>4.380866195365966e-05</t>
  </si>
  <si>
    <t>6.053099311825656e-22</t>
  </si>
  <si>
    <t>2.983151370506896e-22</t>
  </si>
  <si>
    <t>1.4943740786083936e-22</t>
  </si>
  <si>
    <t>7.537223989196404e-23</t>
  </si>
  <si>
    <t>9.13398011844193e-23</t>
  </si>
  <si>
    <t>4.5433798734619904e-23</t>
  </si>
  <si>
    <t>8.161827741047872e-23</t>
  </si>
  <si>
    <t>4.054118748883521e-23</t>
  </si>
  <si>
    <t>0.0017070221048059997</t>
  </si>
  <si>
    <t>0.0008432310965789461</t>
  </si>
  <si>
    <t>0.9991567689034211</t>
  </si>
  <si>
    <t>0.015308091051810975</t>
  </si>
  <si>
    <t>0.007510617339963608</t>
  </si>
  <si>
    <t>0.9924893826600364</t>
  </si>
  <si>
    <t>0.04235896970594112</t>
  </si>
  <si>
    <t>0.020524867365602287</t>
  </si>
  <si>
    <t>0.9794751326343978</t>
  </si>
  <si>
    <t>0.17184285842725092</t>
  </si>
  <si>
    <t>0.07799661923806367</t>
  </si>
  <si>
    <t>0.9220033807619363</t>
  </si>
  <si>
    <t>P35</t>
  </si>
  <si>
    <t>Schwarzschild gravitational redshift</t>
  </si>
  <si>
    <t>z = 1/sqrt(1-r_s/r) - 1</t>
  </si>
  <si>
    <t>r_s*(1+z)**2/(z*(z+2))</t>
  </si>
  <si>
    <t>r_s=[1, 3]</t>
  </si>
  <si>
    <t>r_s*(z + 1)**2/(z*(z + 2))</t>
  </si>
  <si>
    <t>p0 + p1*z**p2 + p3*(p4 + p5**z + p6*sin(p7)**p2*sin(p8*z**p2))**p2</t>
  </si>
  <si>
    <t>[2.18279170000000, 1.08373560000000, -1, 0.678298900000000, -0.999306440000000, 103.755110000000, -0.00963807951242112, 2.63908500000000, 5.18592400000000]</t>
  </si>
  <si>
    <t>0.0042984117402286</t>
  </si>
  <si>
    <t>0.0042816389489956</t>
  </si>
  <si>
    <t>0.99895099690044</t>
  </si>
  <si>
    <t>0.0006251967987913</t>
  </si>
  <si>
    <t>1.6522949924105513e-07</t>
  </si>
  <si>
    <t>3.8777261588926686e-08</t>
  </si>
  <si>
    <t>0.9999999612227384</t>
  </si>
  <si>
    <t>2.1495071298420272e-07</t>
  </si>
  <si>
    <t>5.2533614978657005e-08</t>
  </si>
  <si>
    <t>0.999999947466385</t>
  </si>
  <si>
    <t>2.741143710857091e-06</t>
  </si>
  <si>
    <t>6.744599915472847e-07</t>
  </si>
  <si>
    <t>0.9999993255400086</t>
  </si>
  <si>
    <t>6.890609468552717e-08</t>
  </si>
  <si>
    <t>1.6483524791133105e-08</t>
  </si>
  <si>
    <t>0.9999999835164752</t>
  </si>
  <si>
    <t>0.003989387595233668</t>
  </si>
  <si>
    <t>0.00103778732469213</t>
  </si>
  <si>
    <t>0.9989622126753079</t>
  </si>
  <si>
    <t>0.0368198929076608</t>
  </si>
  <si>
    <t>0.009479423726067474</t>
  </si>
  <si>
    <t>0.9905205762739326</t>
  </si>
  <si>
    <t>0.10181441484338577</t>
  </si>
  <si>
    <t>0.025811350371725945</t>
  </si>
  <si>
    <t>0.974188649628274</t>
  </si>
  <si>
    <t>0.40346190464180426</t>
  </si>
  <si>
    <t>0.09550961722999557</t>
  </si>
  <si>
    <t>0.9044903827700045</t>
  </si>
  <si>
    <t>P36</t>
  </si>
  <si>
    <t>Capacitor charging with effective time constant</t>
  </si>
  <si>
    <t>V = V_inf*(1-exp(-t/tau))</t>
  </si>
  <si>
    <t>V</t>
  </si>
  <si>
    <t>V_inf=[8, 12]; tau=[1, 4]</t>
  </si>
  <si>
    <t>(V + exp(p0*(V + p1)**p2*(p4 + cos(V + p5))*sin(p1**V*p3)**p2 + sin(V*p6)))**p7*atanh(p2 + Mod(V*p9 + p8, p10))</t>
  </si>
  <si>
    <t>[0.917046532634986, 0.765040640000000, -1, 1.74724110000000, 0.721354212137271, 0.0622663130000000, 0.640460598767895, 1/2, 1.00000000000000, 0.0956158100000000, 2]</t>
  </si>
  <si>
    <t>1.0615326713504816</t>
  </si>
  <si>
    <t>0.0014374111139555</t>
  </si>
  <si>
    <t>0.7917111917160853</t>
  </si>
  <si>
    <t>0.0036828008224695</t>
  </si>
  <si>
    <t>1.4263741499681062</t>
  </si>
  <si>
    <t>0.27940809677699235</t>
  </si>
  <si>
    <t>0.7205919032230076</t>
  </si>
  <si>
    <t>2.5160895319002288</t>
  </si>
  <si>
    <t>0.49824768921048895</t>
  </si>
  <si>
    <t>0.5017523107895111</t>
  </si>
  <si>
    <t>2.6491185131404658</t>
  </si>
  <si>
    <t>0.5155521849958102</t>
  </si>
  <si>
    <t>0.48444781500418976</t>
  </si>
  <si>
    <t>1.287317588377184</t>
  </si>
  <si>
    <t>0.3686489421913168</t>
  </si>
  <si>
    <t>0.6313510578086832</t>
  </si>
  <si>
    <t>1.3129080936206352</t>
  </si>
  <si>
    <t>0.37511565737442876</t>
  </si>
  <si>
    <t>0.6248843426255712</t>
  </si>
  <si>
    <t>1.1025720250827171</t>
  </si>
  <si>
    <t>0.3223185434744736</t>
  </si>
  <si>
    <t>0.6776814565255265</t>
  </si>
  <si>
    <t>1.3302761919695993</t>
  </si>
  <si>
    <t>0.3790874092932529</t>
  </si>
  <si>
    <t>0.6209125907067471</t>
  </si>
  <si>
    <t>1.2215039218632089</t>
  </si>
  <si>
    <t>0.33731177995099554</t>
  </si>
  <si>
    <t>0.6626882200490045</t>
  </si>
  <si>
    <t>P37</t>
  </si>
  <si>
    <t>Driven-oscillator response with effective drive acceleration</t>
  </si>
  <si>
    <t>Amp = a0/sqrt((omega0**2-omega**2)**2 + 4*gamma**2*omega**2)</t>
  </si>
  <si>
    <t>sqrt(omega0**2 - 2*gamma**2 + sqrt((a0/Amp)**2 + 4*gamma**2*(gamma**2-omega0**2)))</t>
  </si>
  <si>
    <t>Amp</t>
  </si>
  <si>
    <t>a0=[1, 3]; omega0=[3, 5]; gamma=[0.2, 0.6]</t>
  </si>
  <si>
    <t>sqrt(-2*gamma**2 + omega0**2 + sqrt(4*gamma**2*(gamma**2 - omega0**2) + a0**2/Amp**2))</t>
  </si>
  <si>
    <t>Amp*(Amp*p7 + p4 + p5*sin(p6*atan(Amp)**p2) + p8*sin(p9*atan(Amp)**p2)) + (p0 + p1*tanh(Amp)**p2)**p3</t>
  </si>
  <si>
    <t>[18.8127630000000, 2.15821770000000, -1, 1/2, -0.0221352066374147, 0.0270607416808950, 23.2190800000000, -0.607367000000000, -0.0296417234527150, 19.9120400000000]</t>
  </si>
  <si>
    <t>0.0040333048279865</t>
  </si>
  <si>
    <t>0.0040323518673697</t>
  </si>
  <si>
    <t>0.9911927225301604</t>
  </si>
  <si>
    <t>1.2820362974451644e-05</t>
  </si>
  <si>
    <t>1.409996102756279e-14</t>
  </si>
  <si>
    <t>3.2262866495096924e-14</t>
  </si>
  <si>
    <t>0.9999999999999678</t>
  </si>
  <si>
    <t>9.698727047968312e-12</t>
  </si>
  <si>
    <t>2.2338574239928475e-11</t>
  </si>
  <si>
    <t>0.9999999999776614</t>
  </si>
  <si>
    <t>5.439339074740417e-10</t>
  </si>
  <si>
    <t>1.2471680111658455e-09</t>
  </si>
  <si>
    <t>0.9999999987528321</t>
  </si>
  <si>
    <t>1.003914128670888e-14</t>
  </si>
  <si>
    <t>2.2819779597809595e-14</t>
  </si>
  <si>
    <t>0.9999999999999771</t>
  </si>
  <si>
    <t>0.004110369761341678</t>
  </si>
  <si>
    <t>0.008883098925086364</t>
  </si>
  <si>
    <t>0.9911169010749137</t>
  </si>
  <si>
    <t>0.03589237401268637</t>
  </si>
  <si>
    <t>0.07269686484268106</t>
  </si>
  <si>
    <t>0.9273031351573189</t>
  </si>
  <si>
    <t>0.10284874643041034</t>
  </si>
  <si>
    <t>0.18339713671752417</t>
  </si>
  <si>
    <t>0.8166028632824759</t>
  </si>
  <si>
    <t>0.414048133209033</t>
  </si>
  <si>
    <t>0.47736119058882936</t>
  </si>
  <si>
    <t>0.5226388094111706</t>
  </si>
  <si>
    <t>P39</t>
  </si>
  <si>
    <t>Gaussian-beam radius</t>
  </si>
  <si>
    <t>w = w0*sqrt(1+(z/z_R)**2)</t>
  </si>
  <si>
    <t>z_R*sqrt((w/w0)**2 - 1)</t>
  </si>
  <si>
    <t>w</t>
  </si>
  <si>
    <t>w0=[1, 2]; z_R=[2, 5]</t>
  </si>
  <si>
    <t>z_R*sqrt(w**2/w0**2 - 1)</t>
  </si>
  <si>
    <t>p0 + p1*(p2**cos(w)*w)**p3 + p4*w + log(p5 + (p6 + p7*w)**p8)</t>
  </si>
  <si>
    <t>[0.106403865000000, -1, 0.960596430352107, -0.108771680000000, 2.13450170000000, 0.100789640000000, -1.34131420000000, 1.02735750000000, 0.608648500000000]</t>
  </si>
  <si>
    <t>0.0012723472574145</t>
  </si>
  <si>
    <t>0.0012376411626808</t>
  </si>
  <si>
    <t>0.9991340681216864</t>
  </si>
  <si>
    <t>3.75781156605254e-05</t>
  </si>
  <si>
    <t>8.482660683549616e-05</t>
  </si>
  <si>
    <t>5.6621974583673114e-05</t>
  </si>
  <si>
    <t>0.9999433780254163</t>
  </si>
  <si>
    <t>6.121473945901679e-06</t>
  </si>
  <si>
    <t>4.147070143653781e-06</t>
  </si>
  <si>
    <t>0.9999958529298564</t>
  </si>
  <si>
    <t>0.0001312252675279353</t>
  </si>
  <si>
    <t>8.776752138652308e-05</t>
  </si>
  <si>
    <t>0.9999122324786134</t>
  </si>
  <si>
    <t>2.931535868443905e-05</t>
  </si>
  <si>
    <t>1.9554981890545175e-05</t>
  </si>
  <si>
    <t>0.9999804450181095</t>
  </si>
  <si>
    <t>0.0011813003682101192</t>
  </si>
  <si>
    <t>0.0007902940225751861</t>
  </si>
  <si>
    <t>0.9992097059774248</t>
  </si>
  <si>
    <t>0.010293958792850324</t>
  </si>
  <si>
    <t>0.0068469892708406255</t>
  </si>
  <si>
    <t>0.9931530107291593</t>
  </si>
  <si>
    <t>0.027769164075446717</t>
  </si>
  <si>
    <t>0.018244882477790155</t>
  </si>
  <si>
    <t>0.9817551175222099</t>
  </si>
  <si>
    <t>0.11326247561695975</t>
  </si>
  <si>
    <t>0.07040196891136852</t>
  </si>
  <si>
    <t>0.9295980310886315</t>
  </si>
  <si>
    <t>P40</t>
  </si>
  <si>
    <t>Net Stefan-Boltzmann radiation</t>
  </si>
  <si>
    <t>P = Area*sigma*(T**4-Ta**4)</t>
  </si>
  <si>
    <t>(P/(Area*sigma) + Ta**4)**(1/4)</t>
  </si>
  <si>
    <t>Area=[1, 3]; Ta=[1, 2.5]</t>
  </si>
  <si>
    <t>sigma=1</t>
  </si>
  <si>
    <t>(Ta**4 + P/Area)**(1/4)</t>
  </si>
  <si>
    <t>(P*p1 + P**p2*(cos(P*p3) + cos(P*p5 + p4) + cos(P*p7 + p6) + cos(P*p9 + p8)) + p0)**p10</t>
  </si>
  <si>
    <t>[3.83890720000000, 0.715036758252150, 0.124282330000000, 34.8175631069202, 1.00044610000000, 0.971859327249818, 0.632799863720602, 1.94240874612271, -1.39989340000000, 0.832865540521407, 0.249764340000000]</t>
  </si>
  <si>
    <t>0.0044055090322753</t>
  </si>
  <si>
    <t>0.0044006504698127</t>
  </si>
  <si>
    <t>0.996829946033732</t>
  </si>
  <si>
    <t>0.0003298362514087</t>
  </si>
  <si>
    <t>1.1180417568437153e-20</t>
  </si>
  <si>
    <t>7.857972524603175e-21</t>
  </si>
  <si>
    <t>9.798055121775853e-22</t>
  </si>
  <si>
    <t>6.88767415870253e-22</t>
  </si>
  <si>
    <t>6.644480787033479e-20</t>
  </si>
  <si>
    <t>4.7243384146569406e-20</t>
  </si>
  <si>
    <t>4.924478708575821e-21</t>
  </si>
  <si>
    <t>3.463543349949228e-21</t>
  </si>
  <si>
    <t>0.004319065231047264</t>
  </si>
  <si>
    <t>0.0030380775870988298</t>
  </si>
  <si>
    <t>0.9969619224129012</t>
  </si>
  <si>
    <t>0.038790946089540056</t>
  </si>
  <si>
    <t>0.02663300075034604</t>
  </si>
  <si>
    <t>0.9733669992496539</t>
  </si>
  <si>
    <t>0.10877899352129394</t>
  </si>
  <si>
    <t>0.07143969234882949</t>
  </si>
  <si>
    <t>0.9285603076511705</t>
  </si>
  <si>
    <t>0.4296881255506032</t>
  </si>
  <si>
    <t>0.23329002666121784</t>
  </si>
  <si>
    <t>0.7667099733387821</t>
  </si>
  <si>
    <t>P41</t>
  </si>
  <si>
    <t>Polytropic/adiabatic pressure-volume law</t>
  </si>
  <si>
    <t>P = K_poly*V**(-gamma)</t>
  </si>
  <si>
    <t>(K_poly/P)**(1/gamma)</t>
  </si>
  <si>
    <t>K_poly=[10, 30]; gamma=[1.2, 1.7]</t>
  </si>
  <si>
    <t>(P**p1*p0 + p2*p3**P*sin(P*p2 + P**p5*p4))**p6</t>
  </si>
  <si>
    <t>[10.0773000000000, -0.725155300000000, -1, 0.260727880000000, 1.48713648000000, 3, 0.999771800000000]</t>
  </si>
  <si>
    <t>0.0004153080187532</t>
  </si>
  <si>
    <t>0.000414898662097</t>
  </si>
  <si>
    <t>0.9994671571190008</t>
  </si>
  <si>
    <t>3.392696164301802e-05</t>
  </si>
  <si>
    <t>1.171200198832054e-23</t>
  </si>
  <si>
    <t>1.5195433419846184e-23</t>
  </si>
  <si>
    <t>1.1616168898026621e-23</t>
  </si>
  <si>
    <t>1.721459248341321e-23</t>
  </si>
  <si>
    <t>2.0810705128648917e-19</t>
  </si>
  <si>
    <t>3.488751360715886e-19</t>
  </si>
  <si>
    <t>1.1903060961772212e-23</t>
  </si>
  <si>
    <t>1.538498666543242e-23</t>
  </si>
  <si>
    <t>0.00040926768727313965</t>
  </si>
  <si>
    <t>0.0005301780452098279</t>
  </si>
  <si>
    <t>0.9994698219547902</t>
  </si>
  <si>
    <t>0.0037332347987701214</t>
  </si>
  <si>
    <t>0.00480245909920183</t>
  </si>
  <si>
    <t>0.9951975409007981</t>
  </si>
  <si>
    <t>0.010304640312352984</t>
  </si>
  <si>
    <t>0.013163748692667124</t>
  </si>
  <si>
    <t>0.9868362513073329</t>
  </si>
  <si>
    <t>0.04160303408211695</t>
  </si>
  <si>
    <t>0.051005074787289995</t>
  </si>
  <si>
    <t>0.94899492521271</t>
  </si>
  <si>
    <t>P42</t>
  </si>
  <si>
    <t>Fermi-Dirac occupation</t>
  </si>
  <si>
    <t>f_occ = 1/(exp((E-mu)/(kb*T_par))+1)</t>
  </si>
  <si>
    <t>mu + kb*T_par*log(1/f_occ - 1)</t>
  </si>
  <si>
    <t>E</t>
  </si>
  <si>
    <t>f_occ</t>
  </si>
  <si>
    <t>mu=[-1, 1]; T_par=[0.5, 2]</t>
  </si>
  <si>
    <t>kb=1</t>
  </si>
  <si>
    <t>T_par*log(-1 + 1/f_occ) + mu</t>
  </si>
  <si>
    <t>p0 + p1*atanh(p2 + Mod(f_occ + p3, p4)) + (f_occ*p6 + p5 + p6*log(f_occ))*log(f_occ**p7*(f_occ + p3)**p8)</t>
  </si>
  <si>
    <t>[-0.00172106780000000, -1.92041810000000, -1, 1, 2, -1.93601250000000, -0.00244415060000000, 1/2, -1/2]</t>
  </si>
  <si>
    <t>0.0004099099894313</t>
  </si>
  <si>
    <t>0.0003928163327896</t>
  </si>
  <si>
    <t>0.9998978612664058</t>
  </si>
  <si>
    <t>7.183415791508555e-06</t>
  </si>
  <si>
    <t>2.093352411667808e-23</t>
  </si>
  <si>
    <t>5.359014288246762e-24</t>
  </si>
  <si>
    <t>1.6955175428175008e-23</t>
  </si>
  <si>
    <t>3.5663782742870896e-24</t>
  </si>
  <si>
    <t>1.8414571237887452e-23</t>
  </si>
  <si>
    <t>3.560614451667386e-24</t>
  </si>
  <si>
    <t>2.4913826804514205e-22</t>
  </si>
  <si>
    <t>9.531494947394869e-23</t>
  </si>
  <si>
    <t>0.00035946120381352085</t>
  </si>
  <si>
    <t>0.00010365045965456227</t>
  </si>
  <si>
    <t>0.9998963495403455</t>
  </si>
  <si>
    <t>0.003205635580481125</t>
  </si>
  <si>
    <t>0.0009258847922453819</t>
  </si>
  <si>
    <t>0.9990741152077546</t>
  </si>
  <si>
    <t>0.00875357113947843</t>
  </si>
  <si>
    <t>0.0025170436712707535</t>
  </si>
  <si>
    <t>0.9974829563287293</t>
  </si>
  <si>
    <t>0.0361691879755614</t>
  </si>
  <si>
    <t>0.010333348282280372</t>
  </si>
  <si>
    <t>0.9896666517177196</t>
  </si>
  <si>
    <t>P44</t>
  </si>
  <si>
    <t>Uniform-acceleration velocity</t>
  </si>
  <si>
    <t>v = v0 + a*t</t>
  </si>
  <si>
    <t>(v-v0)/a</t>
  </si>
  <si>
    <t>v0=[1, 4]; a=[0.5, 2]</t>
  </si>
  <si>
    <t>(v - v0)/a</t>
  </si>
  <si>
    <t>p0 + p1*v + p2*exp(p3*sin(p4*v) + p5*sin(p6 + p7*v) + p5*cos(v) + v)*cos(exp(v))</t>
  </si>
  <si>
    <t>[-2.00484750000000, 0.680890300000000, 2.19476770000000e-10, -1, 410.780980000000, 1.82866706263404, -382.756987782523, 183.167550520312]</t>
  </si>
  <si>
    <t>0.0032871707732949</t>
  </si>
  <si>
    <t>0.0032838352055937</t>
  </si>
  <si>
    <t>0.9996018939927211</t>
  </si>
  <si>
    <t>0.0001467412762397</t>
  </si>
  <si>
    <t>1.9405121825159246e-22</t>
  </si>
  <si>
    <t>2.3394923466466855e-23</t>
  </si>
  <si>
    <t>1.7673912233905692e-22</t>
  </si>
  <si>
    <t>2.1317829737882705e-23</t>
  </si>
  <si>
    <t>1.6272687823403264e-22</t>
  </si>
  <si>
    <t>1.9626022281945948e-23</t>
  </si>
  <si>
    <t>2.141544801425953e-22</t>
  </si>
  <si>
    <t>2.5694219660035803e-23</t>
  </si>
  <si>
    <t>0.003346276727496395</t>
  </si>
  <si>
    <t>0.00040155425520783884</t>
  </si>
  <si>
    <t>0.9995984457447922</t>
  </si>
  <si>
    <t>0.0299908531179603</t>
  </si>
  <si>
    <t>0.003592854061886413</t>
  </si>
  <si>
    <t>0.9964071459381136</t>
  </si>
  <si>
    <t>0.08425213253411387</t>
  </si>
  <si>
    <t>0.010014040529832097</t>
  </si>
  <si>
    <t>0.9899859594701679</t>
  </si>
  <si>
    <t>0.3309326410050548</t>
  </si>
  <si>
    <t>0.03829638649176628</t>
  </si>
  <si>
    <t>0.9617036135082337</t>
  </si>
  <si>
    <t>P45</t>
  </si>
  <si>
    <t>Small-angle pendulum period</t>
  </si>
  <si>
    <t>T = 2*pi*sqrt(L/g)</t>
  </si>
  <si>
    <t>g*T**2/(4*pi**2)</t>
  </si>
  <si>
    <t>L</t>
  </si>
  <si>
    <t>g=[5, 15]</t>
  </si>
  <si>
    <t>pi=3.14159</t>
  </si>
  <si>
    <t>0.02533033870181*T**2*g</t>
  </si>
  <si>
    <t>T*p0*(T + p1*(T + sin(p2*exp(T)))**T*sin((T + p3)**T))</t>
  </si>
  <si>
    <t>[0.311208500000000, -3.56285200000000e-5, 1.68503419943677, -0.674199500000000]</t>
  </si>
  <si>
    <t>0.0007311838549031</t>
  </si>
  <si>
    <t>0.0007294482975277</t>
  </si>
  <si>
    <t>0.9995772835409508</t>
  </si>
  <si>
    <t>0.0027646448471521</t>
  </si>
  <si>
    <t>2.650450259203062e-23</t>
  </si>
  <si>
    <t>1.5383511961999953e-23</t>
  </si>
  <si>
    <t>2.695541265573292e-23</t>
  </si>
  <si>
    <t>1.5643785138881262e-23</t>
  </si>
  <si>
    <t>2.716980899942529e-23</t>
  </si>
  <si>
    <t>1.576822484097071e-23</t>
  </si>
  <si>
    <t>2.671063954083359e-23</t>
  </si>
  <si>
    <t>1.56206132242275e-23</t>
  </si>
  <si>
    <t>0.0007391224220689235</t>
  </si>
  <si>
    <t>0.000432105441950465</t>
  </si>
  <si>
    <t>0.9995678945580495</t>
  </si>
  <si>
    <t>0.0065018124920102035</t>
  </si>
  <si>
    <t>0.0037880767322591097</t>
  </si>
  <si>
    <t>0.9962119232677409</t>
  </si>
  <si>
    <t>0.01816193462772826</t>
  </si>
  <si>
    <t>0.010512139422838983</t>
  </si>
  <si>
    <t>0.9894878605771611</t>
  </si>
  <si>
    <t>0.07292862223066437</t>
  </si>
  <si>
    <t>0.04068452076317827</t>
  </si>
  <si>
    <t>0.9593154792368217</t>
  </si>
  <si>
    <t>P46</t>
  </si>
  <si>
    <t>Mass-spring oscillation period</t>
  </si>
  <si>
    <t>T = 2*pi*sqrt(m/k)</t>
  </si>
  <si>
    <t>k*T**2/(4*pi**2)</t>
  </si>
  <si>
    <t>k=[1, 10]</t>
  </si>
  <si>
    <t>0.02533033870181*T**2*k</t>
  </si>
  <si>
    <t>T**p1*p0*atan(p2*(p4 + p5*cos(T*p6))*atan(p7 + cos(T)) + p2*cos(T**T*p3))</t>
  </si>
  <si>
    <t>[-0.118037686000000, 2, 42.2557487784180, 0.717655100000000, 106.799360000000, -87.7591200000000, 132.470632375481, -0.529330800000000]</t>
  </si>
  <si>
    <t>0.000729444643401</t>
  </si>
  <si>
    <t>0.0007291369913124</t>
  </si>
  <si>
    <t>0.9995790372696542</t>
  </si>
  <si>
    <t>0.0001892588411859</t>
  </si>
  <si>
    <t>0.9207229103412184</t>
  </si>
  <si>
    <t>0.5265189036585491</t>
  </si>
  <si>
    <t>0.47348109634145086</t>
  </si>
  <si>
    <t>0.9207229099395742</t>
  </si>
  <si>
    <t>0.5265189037782899</t>
  </si>
  <si>
    <t>0.4734810962217101</t>
  </si>
  <si>
    <t>0.8656647934991509</t>
  </si>
  <si>
    <t>0.49503371038259936</t>
  </si>
  <si>
    <t>0.5049662896174006</t>
  </si>
  <si>
    <t>1.7851458491618684</t>
  </si>
  <si>
    <t>1.039791691739683</t>
  </si>
  <si>
    <t>0.8956211730307195</t>
  </si>
  <si>
    <t>0.5203768395475149</t>
  </si>
  <si>
    <t>0.47962316045248515</t>
  </si>
  <si>
    <t>0.9224843871116948</t>
  </si>
  <si>
    <t>0.5417527725112432</t>
  </si>
  <si>
    <t>0.4582472274887568</t>
  </si>
  <si>
    <t>0.938567640564457</t>
  </si>
  <si>
    <t>0.5435930070592101</t>
  </si>
  <si>
    <t>0.4564069929407899</t>
  </si>
  <si>
    <t>0.9858617030082224</t>
  </si>
  <si>
    <t>0.5450456685224317</t>
  </si>
  <si>
    <t>0.45495433147756825</t>
  </si>
  <si>
    <t>P47</t>
  </si>
  <si>
    <t>Hooke law with force offset</t>
  </si>
  <si>
    <t>F = F0 - k*x</t>
  </si>
  <si>
    <t>(F0-F)/k</t>
  </si>
  <si>
    <t>F</t>
  </si>
  <si>
    <t>F0=[8, 12]; k=[1, 4]</t>
  </si>
  <si>
    <t>(-F + F0)/k</t>
  </si>
  <si>
    <t>F*(p1 + (F*p4 + p2*cos(F*(F + p3*exp(F))))**(F*p2)*cos(p5*exp(F*p6))) + p0 + tanh(F + p7)</t>
  </si>
  <si>
    <t>[3.89599130000000, -0.541037440000000, -1, 2.07640793392717, 0.742848835684735, 0.123234836999614, 2, -2.09366350000000]</t>
  </si>
  <si>
    <t>0.0001325529460661</t>
  </si>
  <si>
    <t>0.0001324936324292</t>
  </si>
  <si>
    <t>0.999601125058027</t>
  </si>
  <si>
    <t>0.0001562067659798</t>
  </si>
  <si>
    <t>8.141757087308487e-21</t>
  </si>
  <si>
    <t>2.4418899001731027e-20</t>
  </si>
  <si>
    <t>7.211380495060928e-21</t>
  </si>
  <si>
    <t>2.1496026046997736e-20</t>
  </si>
  <si>
    <t>5.344086678687941e-21</t>
  </si>
  <si>
    <t>1.598067452488399e-20</t>
  </si>
  <si>
    <t>8.179131513840638e-21</t>
  </si>
  <si>
    <t>2.4694397038617652e-20</t>
  </si>
  <si>
    <t>0.00013181339710378987</t>
  </si>
  <si>
    <t>0.00039780933402853037</t>
  </si>
  <si>
    <t>0.9996021906659714</t>
  </si>
  <si>
    <t>0.001212831010782183</t>
  </si>
  <si>
    <t>0.003647203863439572</t>
  </si>
  <si>
    <t>0.9963527961365604</t>
  </si>
  <si>
    <t>0.003312716972555246</t>
  </si>
  <si>
    <t>0.009901754725324716</t>
  </si>
  <si>
    <t>0.9900982452746754</t>
  </si>
  <si>
    <t>0.013268507533191778</t>
  </si>
  <si>
    <t>0.03870507605052387</t>
  </si>
  <si>
    <t>0.9612949239494761</t>
  </si>
  <si>
    <t>P48</t>
  </si>
  <si>
    <t>Hydrostatic pressure</t>
  </si>
  <si>
    <t>P = P0 + rho*g*h</t>
  </si>
  <si>
    <t>(P-P0)/(rho*g)</t>
  </si>
  <si>
    <t>h</t>
  </si>
  <si>
    <t>P0=[1, 3]; rho=[1, 3]</t>
  </si>
  <si>
    <t>0.101936799184506*(P - P0)/rho</t>
  </si>
  <si>
    <t>(p2 + p3*(p1*sin(P**p10*p9 + p8) + p1*cos(P*p5) + p1*cos(P*p6) + p1*cos(P*p7) + p4 + cos(P))*sin(P))*(P*p1 + p0)</t>
  </si>
  <si>
    <t>[1.59781500000000, -1, -0.0396448370000000, 5.34852500000000e-5, 0.530814100000000, 192.561310000000, 32.1464754971101, 159.496615920426, 1, 145.761601012775, 2]</t>
  </si>
  <si>
    <t>0.0032986118589143</t>
  </si>
  <si>
    <t>0.0032960962428802</t>
  </si>
  <si>
    <t>0.9996037178860612</t>
  </si>
  <si>
    <t>0.0009294427663845</t>
  </si>
  <si>
    <t>2.860183365308325e-22</t>
  </si>
  <si>
    <t>3.380623537561188e-23</t>
  </si>
  <si>
    <t>1.611827232152473e-22</t>
  </si>
  <si>
    <t>1.915552168049958e-23</t>
  </si>
  <si>
    <t>1.1843988567996498e-22</t>
  </si>
  <si>
    <t>1.4112495475770843e-23</t>
  </si>
  <si>
    <t>1.229843130997986e-22</t>
  </si>
  <si>
    <t>1.4831655494861194e-23</t>
  </si>
  <si>
    <t>0.003254566167645104</t>
  </si>
  <si>
    <t>0.0003928423562157443</t>
  </si>
  <si>
    <t>0.9996071576437843</t>
  </si>
  <si>
    <t>0.030265837562468548</t>
  </si>
  <si>
    <t>0.003636178955989229</t>
  </si>
  <si>
    <t>0.9963638210440109</t>
  </si>
  <si>
    <t>0.08303851762296192</t>
  </si>
  <si>
    <t>0.009911109383001132</t>
  </si>
  <si>
    <t>0.9900888906169989</t>
  </si>
  <si>
    <t>0.3296489506220766</t>
  </si>
  <si>
    <t>0.03815736636528575</t>
  </si>
  <si>
    <t>0.9618426336347142</t>
  </si>
  <si>
    <t>P49</t>
  </si>
  <si>
    <t>Circular-orbit speed</t>
  </si>
  <si>
    <t>v = sqrt(G*M/r)</t>
  </si>
  <si>
    <t>G*M/v**2</t>
  </si>
  <si>
    <t>M=[1, 5]</t>
  </si>
  <si>
    <t>M/v**2</t>
  </si>
  <si>
    <t>p0*v**p1 + p2*(p3**v + p4*(v**p5)**p6)**p4*atan(p7*cos(p8*(p10*v**p4 + p9)**p4)**p4)</t>
  </si>
  <si>
    <t>[4.13101200000000, -2, 0.000210925030000000, 0.436232860000000, -1, 1.53563300000000, 0.994655670000000, 0.501459300000000, 0.720296800000000, -0.901623250000000, 0.700593140000000]</t>
  </si>
  <si>
    <t>1.469692090099042</t>
  </si>
  <si>
    <t>0.0017609013157738</t>
  </si>
  <si>
    <t>0.7043644235939432</t>
  </si>
  <si>
    <t>0.002628495634117</t>
  </si>
  <si>
    <t>6.680237023394448e-23</t>
  </si>
  <si>
    <t>1.3453967749572082e-23</t>
  </si>
  <si>
    <t>7.313550104249242e-23</t>
  </si>
  <si>
    <t>1.4726201255309424e-23</t>
  </si>
  <si>
    <t>7.581957310187182e-23</t>
  </si>
  <si>
    <t>1.5270535878318602e-23</t>
  </si>
  <si>
    <t>6.998194970220766e-23</t>
  </si>
  <si>
    <t>1.4080088868445133e-23</t>
  </si>
  <si>
    <t>0.0014827995011911534</t>
  </si>
  <si>
    <t>0.00029945486637231183</t>
  </si>
  <si>
    <t>0.9997005451336276</t>
  </si>
  <si>
    <t>0.01342505221742047</t>
  </si>
  <si>
    <t>0.0027068661229339235</t>
  </si>
  <si>
    <t>0.9972931338770661</t>
  </si>
  <si>
    <t>0.03708981513370184</t>
  </si>
  <si>
    <t>0.007422981371613116</t>
  </si>
  <si>
    <t>0.9925770186283869</t>
  </si>
  <si>
    <t>0.14592458437784608</t>
  </si>
  <si>
    <t>0.028611177912996655</t>
  </si>
  <si>
    <t>0.9713888220870033</t>
  </si>
  <si>
    <t>P50</t>
  </si>
  <si>
    <t>Hubble law</t>
  </si>
  <si>
    <t>v_rec = H0*d</t>
  </si>
  <si>
    <t>v_rec/H0</t>
  </si>
  <si>
    <t>v_rec</t>
  </si>
  <si>
    <t>H0=[0.5, 2]</t>
  </si>
  <si>
    <t>v_rec*(p0 + p1*exp(v_rec)*sin(p2*exp(v_rec)**p3 + v_rec) + p4*sin(p6*v_rec)*cos(p5 + v_rec))</t>
  </si>
  <si>
    <t>[0.972663500000000, 1.08499144000000e-7, -1, 1/2, 0.000928794000000000, 0.160064220000000, 2.60698220000000]</t>
  </si>
  <si>
    <t>0.0036632410841283</t>
  </si>
  <si>
    <t>0.00365988803899</t>
  </si>
  <si>
    <t>0.9994571205680036</t>
  </si>
  <si>
    <t>8.439332445389919e-06</t>
  </si>
  <si>
    <t>5.324212456991315e-23</t>
  </si>
  <si>
    <t>7.830626203071456e-24</t>
  </si>
  <si>
    <t>9.787559079801794e-23</t>
  </si>
  <si>
    <t>1.4414967257240154e-23</t>
  </si>
  <si>
    <t>1.2975811725498168e-22</t>
  </si>
  <si>
    <t>1.910109101299899e-23</t>
  </si>
  <si>
    <t>1.1093461913944034e-22</t>
  </si>
  <si>
    <t>1.6465495439627694e-23</t>
  </si>
  <si>
    <t>0.0036800947932546678</t>
  </si>
  <si>
    <t>0.0005445842178319919</t>
  </si>
  <si>
    <t>0.999455415782168</t>
  </si>
  <si>
    <t>0.032860628821256906</t>
  </si>
  <si>
    <t>0.004847034003533673</t>
  </si>
  <si>
    <t>0.9951529659964664</t>
  </si>
  <si>
    <t>0.09328627037931476</t>
  </si>
  <si>
    <t>0.013628734493403245</t>
  </si>
  <si>
    <t>0.9863712655065968</t>
  </si>
  <si>
    <t>0.36663722628907824</t>
  </si>
  <si>
    <t>0.05148049311388761</t>
  </si>
  <si>
    <t>0.9485195068861123</t>
  </si>
  <si>
    <t>P51</t>
  </si>
  <si>
    <t>Axial magnetic dipole field</t>
  </si>
  <si>
    <t>B = mu0*m_dip/(2*pi*r**3)</t>
  </si>
  <si>
    <t>(mu0*m_dip/(2*pi*B))**(1/3)</t>
  </si>
  <si>
    <t>m_dip=[1, 4]</t>
  </si>
  <si>
    <t>mu0=1; pi=3.14159</t>
  </si>
  <si>
    <t>0.341392127748206*2**(2/3)*(m_dip/B)**(1/3)</t>
  </si>
  <si>
    <t>(B*p0 + p1*(p4 + p5*cos(B**p8*p7 + p6))*(B*p3 + p2)*sin(atan(B)**p9))**p10</t>
  </si>
  <si>
    <t>[2.02413770000000, -0.00199617770000000, 1.93340290000000, -15.8373980000000, 0.0188916591873651, -0.0280545949245644, 0.233230580000000, 0.561911913652708, -1, -1.26318780000000, -0.333317340000000]</t>
  </si>
  <si>
    <t>0.0002569821989</t>
  </si>
  <si>
    <t>0.0002568529206208</t>
  </si>
  <si>
    <t>0.999479054090776</t>
  </si>
  <si>
    <t>3.875426500349901e-05</t>
  </si>
  <si>
    <t>1.2325702211825246e-23</t>
  </si>
  <si>
    <t>2.5407462608565324e-23</t>
  </si>
  <si>
    <t>9.188367253226762e-24</t>
  </si>
  <si>
    <t>1.8636594876978153e-23</t>
  </si>
  <si>
    <t>8.990530896325037e-24</t>
  </si>
  <si>
    <t>1.8266666080866966e-23</t>
  </si>
  <si>
    <t>9.512805160852898e-24</t>
  </si>
  <si>
    <t>1.9636478480216097e-23</t>
  </si>
  <si>
    <t>0.000762547305003256</t>
  </si>
  <si>
    <t>0.001625330974798513</t>
  </si>
  <si>
    <t>0.9983746690252016</t>
  </si>
  <si>
    <t>0.0023233269107999334</t>
  </si>
  <si>
    <t>0.00478232110204266</t>
  </si>
  <si>
    <t>0.9952176788979573</t>
  </si>
  <si>
    <t>0.014230934931935784</t>
  </si>
  <si>
    <t>0.02989562527716675</t>
  </si>
  <si>
    <t>0.9701043747228332</t>
  </si>
  <si>
    <t>0.025998591159731573</t>
  </si>
  <si>
    <t>0.05086609180283131</t>
  </si>
  <si>
    <t>0.9491339081971687</t>
  </si>
  <si>
    <t>P52</t>
  </si>
  <si>
    <t>Exponential attenuation</t>
  </si>
  <si>
    <t>I = I0*exp(-mu*x)</t>
  </si>
  <si>
    <t>log(I0/I)/mu</t>
  </si>
  <si>
    <t>I</t>
  </si>
  <si>
    <t>I0=[8, 12]; mu=[0.1, 0.5]</t>
  </si>
  <si>
    <t>p0 + I*pi*(I**p3*p5*(p6 + p7*(p8 + I*(p9 + I))**p3)**p3 + p4)/2 + I*atan(p1*(p2 + I)**p3)</t>
  </si>
  <si>
    <t>[5.49303670000000, 0.000336298370000000, -0.360835520000000, -1, -2.49429080000000, -0.00264590542982125, -2.49386980000000, -0.313542630000000, -0.532298700000000, 0.567880200000000]</t>
  </si>
  <si>
    <t>5.338997629906322</t>
  </si>
  <si>
    <t>5.19120441723111</t>
  </si>
  <si>
    <t>1.3877787807814457e-17</t>
  </si>
  <si>
    <t>7.673442743456057e-05</t>
  </si>
  <si>
    <t>0.12112971990368693</t>
  </si>
  <si>
    <t>0.01939123480694805</t>
  </si>
  <si>
    <t>0.980608765193052</t>
  </si>
  <si>
    <t>0.0175164609565717</t>
  </si>
  <si>
    <t>0.006232347860500278</t>
  </si>
  <si>
    <t>0.9937676521394997</t>
  </si>
  <si>
    <t>6.489859236500509e-08</t>
  </si>
  <si>
    <t>3.2142299546165247e-08</t>
  </si>
  <si>
    <t>0.9999999678577005</t>
  </si>
  <si>
    <t>0.04711086739169362</t>
  </si>
  <si>
    <t>0.006956414236579736</t>
  </si>
  <si>
    <t>0.9930435857634202</t>
  </si>
  <si>
    <t>0.10635099544722355</t>
  </si>
  <si>
    <t>0.016216290259205214</t>
  </si>
  <si>
    <t>0.9837837097407948</t>
  </si>
  <si>
    <t>0.13453756075226364</t>
  </si>
  <si>
    <t>0.0213557478467675</t>
  </si>
  <si>
    <t>0.9786442521532325</t>
  </si>
  <si>
    <t>0.1424189617053037</t>
  </si>
  <si>
    <t>0.022545809372597755</t>
  </si>
  <si>
    <t>0.9774541906274024</t>
  </si>
  <si>
    <t>0.3162070914515842</t>
  </si>
  <si>
    <t>0.05097697073904495</t>
  </si>
  <si>
    <t>0.949023029260955</t>
  </si>
  <si>
    <t>P53</t>
  </si>
  <si>
    <t>Linear thermal expansion</t>
  </si>
  <si>
    <t>L = L0*(1+alpha*(T-T0))</t>
  </si>
  <si>
    <t>T0 + (L/L0 - 1)/alpha</t>
  </si>
  <si>
    <t>L0=[0.5, 2]; alpha=[1.00000e-05, 3.00000e-05]</t>
  </si>
  <si>
    <t>T0=293.15</t>
  </si>
  <si>
    <t>293.15 + (L/L0 - 1)/alpha</t>
  </si>
  <si>
    <t>p0 + p1*sin(p2*(p3**L)**p4) + p5*(p3**L)**p6 + p7*sin(p8 + p9*(p3**L)**p4)</t>
  </si>
  <si>
    <t>[-5293.86200000000, 0.198638288845680, 0.672534892287148, 514125340.000000, 1/2, 5.19693600000000, 1/4, -0.198638288845680, 0.774419983210926, 1.14345190000000]</t>
  </si>
  <si>
    <t>10.23304618310523</t>
  </si>
  <si>
    <t>10.230365049997951</t>
  </si>
  <si>
    <t>0.9811581035046062</t>
  </si>
  <si>
    <t>9.096164818523614e-05</t>
  </si>
  <si>
    <t>0.001006856830750461</t>
  </si>
  <si>
    <t>1.8766573185125042e-06</t>
  </si>
  <si>
    <t>0.9999981233426816</t>
  </si>
  <si>
    <t>4.5850326864517107e+132</t>
  </si>
  <si>
    <t>1.0922422397143445e+130</t>
  </si>
  <si>
    <t>0.0005637709419621837</t>
  </si>
  <si>
    <t>1.0534040852539196e-06</t>
  </si>
  <si>
    <t>0.9999989465959147</t>
  </si>
  <si>
    <t>10.357903513810458</t>
  </si>
  <si>
    <t>0.01900404142856671</t>
  </si>
  <si>
    <t>0.9809959585714333</t>
  </si>
  <si>
    <t>93.12090519523683</t>
  </si>
  <si>
    <t>0.148399940638408</t>
  </si>
  <si>
    <t>0.851600059361592</t>
  </si>
  <si>
    <t>257.27854575555335</t>
  </si>
  <si>
    <t>0.3233413397952977</t>
  </si>
  <si>
    <t>0.6766586602047022</t>
  </si>
  <si>
    <t>1030.6775910865595</t>
  </si>
  <si>
    <t>0.6581351063558816</t>
  </si>
  <si>
    <t>0.34186489364411843</t>
  </si>
  <si>
    <t>P54</t>
  </si>
  <si>
    <t>Simple harmonic oscillator</t>
  </si>
  <si>
    <t>x = A*cos(omega*t + phi)</t>
  </si>
  <si>
    <t>(acos(x/A) - phi)/omega</t>
  </si>
  <si>
    <t>A=[2, 4]; omega=[0.6, 1.2]; phi=[0.1, 0.4]</t>
  </si>
  <si>
    <t>(-phi + acos(x/A))/omega</t>
  </si>
  <si>
    <t>p0 + p1*exp(p2*cos(p2*x + p3 + p4*(p5 + x)**p2))*sin(x) + acos(p6*x)</t>
  </si>
  <si>
    <t>[-0.348629740000000, 0.00497950600000000, -1, 0.0115618206958196, 0.0161511655913062, 1.71320510000000, 0.294407220000000]</t>
  </si>
  <si>
    <t>0.003027454191886</t>
  </si>
  <si>
    <t>0.0002319688535464</t>
  </si>
  <si>
    <t>0.9869958550664786</t>
  </si>
  <si>
    <t>9.237321576096268e-05</t>
  </si>
  <si>
    <t>0.0001607671233434561</t>
  </si>
  <si>
    <t>0.0006739063764309316</t>
  </si>
  <si>
    <t>0.9993260936235691</t>
  </si>
  <si>
    <t>1.4868264833019261e-05</t>
  </si>
  <si>
    <t>7.584088154424651e-05</t>
  </si>
  <si>
    <t>0.9999241591184558</t>
  </si>
  <si>
    <t>0.00011455612090823917</t>
  </si>
  <si>
    <t>0.0007092778782831183</t>
  </si>
  <si>
    <t>0.9992907221217169</t>
  </si>
  <si>
    <t>0.0005755833913154369</t>
  </si>
  <si>
    <t>0.0024316862069146874</t>
  </si>
  <si>
    <t>0.9975683137930853</t>
  </si>
  <si>
    <t>0.0007743557711375638</t>
  </si>
  <si>
    <t>0.0032730312446073665</t>
  </si>
  <si>
    <t>0.9967269687553927</t>
  </si>
  <si>
    <t>0.0022137237874687754</t>
  </si>
  <si>
    <t>0.009312317631999306</t>
  </si>
  <si>
    <t>0.9906876823680006</t>
  </si>
  <si>
    <t>0.004903268614401907</t>
  </si>
  <si>
    <t>0.02045081500648539</t>
  </si>
  <si>
    <t>0.9795491849935146</t>
  </si>
  <si>
    <t>0.01687406861578879</t>
  </si>
  <si>
    <t>0.06703698177054268</t>
  </si>
  <si>
    <t>0.9329630182294573</t>
  </si>
  <si>
    <t>P55</t>
  </si>
  <si>
    <t>Malus law with angular offset</t>
  </si>
  <si>
    <t>I = I0*cos(theta-theta0)**2</t>
  </si>
  <si>
    <t>theta0 + acos(sqrt(I/I0))</t>
  </si>
  <si>
    <t>theta</t>
  </si>
  <si>
    <t>I0=[5, 10]; theta0=[0, 0.4]</t>
  </si>
  <si>
    <t>p0 + log(p3 + p4*atan(atan(sin(I**p5))) + p6*cos(I**p8*p7)) + acos(I**p2*p1)</t>
  </si>
  <si>
    <t>[-0.185675220000000, 0.385153060000000, 1/2, 1.32516790000000, 0.00109473480000000, 2, -0.00109473480000000, 1.05902640000000, -1]</t>
  </si>
  <si>
    <t>0.0594631187977149</t>
  </si>
  <si>
    <t>0.059434491037456</t>
  </si>
  <si>
    <t>9.405351e-05</t>
  </si>
  <si>
    <t>5.0628189342761166e-05</t>
  </si>
  <si>
    <t>8.476809173586386e-12</t>
  </si>
  <si>
    <t>1.4206457468721634e-10</t>
  </si>
  <si>
    <t>0.9999999998579354</t>
  </si>
  <si>
    <t>0.002982880642349076</t>
  </si>
  <si>
    <t>0.060647033494381476</t>
  </si>
  <si>
    <t>0.9393529665056185</t>
  </si>
  <si>
    <t>1.999631044330678e-21</t>
  </si>
  <si>
    <t>3.430865943447639e-20</t>
  </si>
  <si>
    <t>9.876924261045363e-05</t>
  </si>
  <si>
    <t>0.0016782221041105804</t>
  </si>
  <si>
    <t>0.9983217778958894</t>
  </si>
  <si>
    <t>0.0009021000002813124</t>
  </si>
  <si>
    <t>0.015141908371853655</t>
  </si>
  <si>
    <t>0.9848580916281464</t>
  </si>
  <si>
    <t>0.0024786793089399193</t>
  </si>
  <si>
    <t>0.040570084389037295</t>
  </si>
  <si>
    <t>0.9594299156109627</t>
  </si>
  <si>
    <t>0.009942722410664677</t>
  </si>
  <si>
    <t>0.1442070317014456</t>
  </si>
  <si>
    <t>0.8557929682985543</t>
  </si>
  <si>
    <t>P56</t>
  </si>
  <si>
    <t>Spatial sinusoidal wave</t>
  </si>
  <si>
    <t>y = A*cos(k*x + phi)</t>
  </si>
  <si>
    <t>(acos(y/A) - phi)/k</t>
  </si>
  <si>
    <t>y</t>
  </si>
  <si>
    <t>A=[2, 4]; k=[0.6, 1]; phi=[0.1, 0.3]</t>
  </si>
  <si>
    <t>(-phi + acos(y/A))/k</t>
  </si>
  <si>
    <t>p0 + p1 + p2*acos(p3*y)</t>
  </si>
  <si>
    <t>[-0.116789885000000, -0.102377325000000, 1.16807569691192, 0.359124480000000]</t>
  </si>
  <si>
    <t>0.5663840190899441</t>
  </si>
  <si>
    <t>4.039511945507134e-13</t>
  </si>
  <si>
    <t>0.6338549240230271</t>
  </si>
  <si>
    <t>5.080109392831054e-06</t>
  </si>
  <si>
    <t>8.321896588369567e-24</t>
  </si>
  <si>
    <t>2.2124493757304505e-23</t>
  </si>
  <si>
    <t>2.4890766935332366e-23</t>
  </si>
  <si>
    <t>7.409714027768637e-23</t>
  </si>
  <si>
    <t>8.741892200022414e-24</t>
  </si>
  <si>
    <t>2.3646530996862668e-23</t>
  </si>
  <si>
    <t>0.00024732518688365504</t>
  </si>
  <si>
    <t>0.0006685551906911518</t>
  </si>
  <si>
    <t>0.9993314448093089</t>
  </si>
  <si>
    <t>0.0062234715187380225</t>
  </si>
  <si>
    <t>0.016551914313890838</t>
  </si>
  <si>
    <t>0.9834480856861092</t>
  </si>
  <si>
    <t>0.024816418635529518</t>
  </si>
  <si>
    <t>0.06302086819538849</t>
  </si>
  <si>
    <t>0.9369791318046115</t>
  </si>
  <si>
    <t>P57</t>
  </si>
  <si>
    <t>Damped harmonic oscillator</t>
  </si>
  <si>
    <t>x = A*exp(-gamma*t)*cos(omega_d*t + phi)</t>
  </si>
  <si>
    <t>gamma</t>
  </si>
  <si>
    <t>x, t</t>
  </si>
  <si>
    <t>A=[2, 4]; omega_d=[0.4, 0.8]; phi=[0.1, 0.2]</t>
  </si>
  <si>
    <t>sin(p7) + atan(p0*(sin(p1)*cos(t))**(p2*x) + p3*x**p4*(p5 + t**p2*(p2*x + p6 + cos(t))))</t>
  </si>
  <si>
    <t>[-0.000205913500000000, 0.733820900000000, -1, 0.756047960000000, -0.735195300000000, -0.502362200000000, 2.29279610000000, 0.0607680160000000]</t>
  </si>
  <si>
    <t>1.0500383328340754e-05</t>
  </si>
  <si>
    <t>1.0486444719213116e-05</t>
  </si>
  <si>
    <t>0.9992072812102007</t>
  </si>
  <si>
    <t>1.0035785e-05</t>
  </si>
  <si>
    <t>0.0090988705532237</t>
  </si>
  <si>
    <t>0.002539325838268319</t>
  </si>
  <si>
    <t>0.010982032127330423</t>
  </si>
  <si>
    <t>0.9890179678726696</t>
  </si>
  <si>
    <t>0.25148730022677135</t>
  </si>
  <si>
    <t>0.1476750381014588</t>
  </si>
  <si>
    <t>0.8523249618985411</t>
  </si>
  <si>
    <t>0.39175670756509273</t>
  </si>
  <si>
    <t>0.1819170978409461</t>
  </si>
  <si>
    <t>0.8180829021590539</t>
  </si>
  <si>
    <t>6.78656867393812e-07</t>
  </si>
  <si>
    <t>5.15790797799344e-05</t>
  </si>
  <si>
    <t>0.9999484209202201</t>
  </si>
  <si>
    <t>1.024069964135229e-05</t>
  </si>
  <si>
    <t>0.0007773522375614266</t>
  </si>
  <si>
    <t>0.9992226477624386</t>
  </si>
  <si>
    <t>8.69130884498133e-05</t>
  </si>
  <si>
    <t>0.006552839979347528</t>
  </si>
  <si>
    <t>0.9934471600206525</t>
  </si>
  <si>
    <t>0.00023940700487705565</t>
  </si>
  <si>
    <t>0.01785279819506563</t>
  </si>
  <si>
    <t>0.9821472018049344</t>
  </si>
  <si>
    <t>0.0009578313118534178</t>
  </si>
  <si>
    <t>0.06771826692844599</t>
  </si>
  <si>
    <t>0.932281733071554</t>
  </si>
  <si>
    <t>P58</t>
  </si>
  <si>
    <t>van der Waals isotherm family</t>
  </si>
  <si>
    <t>P = Rgas*T_par/(V_m-b) - a/V_m**2</t>
  </si>
  <si>
    <t>V_m - Rgas*T_par/(P + a/V_m**2)</t>
  </si>
  <si>
    <t>b</t>
  </si>
  <si>
    <t>P, V_m</t>
  </si>
  <si>
    <t>T_par=[1, 3]; a=[0.5, 2]</t>
  </si>
  <si>
    <t>Rgas=1</t>
  </si>
  <si>
    <t>-T_par/(P + a/V_m**2) + V_m</t>
  </si>
  <si>
    <t>P**p7*p6 + V_m*p5 + p0 + (P*p2*(V_m + p3) + p1)**p4</t>
  </si>
  <si>
    <t>[-0.00785354100000000, -0.141667110000000, 0.948440550000000, 0.365626130000000, -1.46811190000000, 0.966953100000000, -1.50331190000000, -1]</t>
  </si>
  <si>
    <t>3.0812505739051104e-05</t>
  </si>
  <si>
    <t>3.0788181773952285e-05</t>
  </si>
  <si>
    <t>0.9989577044549868</t>
  </si>
  <si>
    <t>3.2487478e-05</t>
  </si>
  <si>
    <t>0.001595789648676</t>
  </si>
  <si>
    <t>1.4810808049020073e-05</t>
  </si>
  <si>
    <t>8.298860844361383e-06</t>
  </si>
  <si>
    <t>0.9999917011391556</t>
  </si>
  <si>
    <t>1.8006169048628994e-05</t>
  </si>
  <si>
    <t>1.0291285962823032e-05</t>
  </si>
  <si>
    <t>0.9999897087140371</t>
  </si>
  <si>
    <t>1.9756322948952772e-05</t>
  </si>
  <si>
    <t>1.1406277412343963e-05</t>
  </si>
  <si>
    <t>0.9999885937225876</t>
  </si>
  <si>
    <t>2.5719335970893735e-07</t>
  </si>
  <si>
    <t>8.590261549795484e-06</t>
  </si>
  <si>
    <t>0.9999914097384502</t>
  </si>
  <si>
    <t>3.0543517015260386e-05</t>
  </si>
  <si>
    <t>0.0010224696951928586</t>
  </si>
  <si>
    <t>0.9989775303048072</t>
  </si>
  <si>
    <t>0.0002787031080465865</t>
  </si>
  <si>
    <t>0.009241074279777616</t>
  </si>
  <si>
    <t>0.9907589257202224</t>
  </si>
  <si>
    <t>0.0007567400366118563</t>
  </si>
  <si>
    <t>0.024654454143108715</t>
  </si>
  <si>
    <t>0.9753455458568913</t>
  </si>
  <si>
    <t>0.0030898306450498868</t>
  </si>
  <si>
    <t>0.09361239283105328</t>
  </si>
  <si>
    <t>0.9063876071689467</t>
  </si>
  <si>
    <t>P59</t>
  </si>
  <si>
    <t>Einstein solid heat capacity</t>
  </si>
  <si>
    <t>C = 3*N*kb*(theta_E/T)**2*exp(theta_E/T)/(exp(theta_E/T)-1)**2</t>
  </si>
  <si>
    <t>C*(exp(theta_E/T)-1)**2/(3*kb*(theta_E/T)**2*exp(theta_E/T))</t>
  </si>
  <si>
    <t>N</t>
  </si>
  <si>
    <t>C, T</t>
  </si>
  <si>
    <t>theta_E=[2, 6]</t>
  </si>
  <si>
    <t>C*T**2*(exp(theta_E/T) - 1)**2*exp(-theta_E/T)/(3*theta_E**2)</t>
  </si>
  <si>
    <t>C*(p0 + p1*sin(C*p2) + (T + p3)**p4*(p5 + p6*(T + p7)**p4))</t>
  </si>
  <si>
    <t>[0.329164360000000, -0.000142173360000000, 2.64639611924005, -0.151819410000000, -1, 0.0464829500000000, 0.422983680000000, -0.601047400000000]</t>
  </si>
  <si>
    <t>0.003668468337671</t>
  </si>
  <si>
    <t>0.0036669797097727</t>
  </si>
  <si>
    <t>0.9994593110435872</t>
  </si>
  <si>
    <t>0.0008250447456748</t>
  </si>
  <si>
    <t>3.0941465119291947e-06</t>
  </si>
  <si>
    <t>6.9962281384128e-08</t>
  </si>
  <si>
    <t>0.9999999300377187</t>
  </si>
  <si>
    <t>5.183263640773171e-06</t>
  </si>
  <si>
    <t>9.448527879211548e-08</t>
  </si>
  <si>
    <t>0.9999999055147212</t>
  </si>
  <si>
    <t>6.861601722562673e-06</t>
  </si>
  <si>
    <t>1.0959140493194063e-07</t>
  </si>
  <si>
    <t>0.999999890408595</t>
  </si>
  <si>
    <t>2.872221428010447e-07</t>
  </si>
  <si>
    <t>4.2656193066303754e-08</t>
  </si>
  <si>
    <t>0.999999957343807</t>
  </si>
  <si>
    <t>0.003674034486289446</t>
  </si>
  <si>
    <t>0.0005441386982069104</t>
  </si>
  <si>
    <t>0.9994558613017931</t>
  </si>
  <si>
    <t>0.032885584590286676</t>
  </si>
  <si>
    <t>0.00484816446485504</t>
  </si>
  <si>
    <t>0.995151835535145</t>
  </si>
  <si>
    <t>0.09100300499279101</t>
  </si>
  <si>
    <t>0.013321533532916346</t>
  </si>
  <si>
    <t>0.9866784664670836</t>
  </si>
  <si>
    <t>0.3720229823307414</t>
  </si>
  <si>
    <t>0.05227098824436492</t>
  </si>
  <si>
    <t>0.9477290117556351</t>
  </si>
  <si>
    <t>缺：</t>
  </si>
  <si>
    <t>低于0.9 高于0的</t>
  </si>
  <si>
    <t>32，36，49，52，55</t>
  </si>
  <si>
    <t>低于0的</t>
  </si>
  <si>
    <t>08，23，55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</si>
</sst>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20344A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/>
  </cellStyleXfs>
  <cellXfs count="7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vertical="top" wrapText="1"/>
    </xf>
    <xf numFmtId="1" fontId="2" fillId="3" borderId="1" xfId="49" applyNumberFormat="1" applyFont="1" applyFill="1" applyBorder="1" applyAlignment="1">
      <alignment vertical="top" wrapText="1"/>
    </xf>
    <xf numFmtId="0" fontId="2" fillId="3" borderId="1" xfId="49" applyNumberFormat="1" applyFont="1" applyFill="1" applyBorder="1" applyAlignment="1">
      <alignment vertical="top" wrapText="1"/>
    </xf>
    <xf numFmtId="1" fontId="2" fillId="0" borderId="1" xfId="49" applyNumberFormat="1" applyFont="1" applyBorder="1" applyAlignment="1">
      <alignment vertical="top" wrapText="1"/>
    </xf>
    <xf numFmtId="0" fontId="2" fillId="0" borderId="1" xfId="49" applyNumberFormat="1" applyFont="1" applyBorder="1" applyAlignment="1">
      <alignment vertical="top" wrapText="1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ill>
        <patternFill patternType="solid">
          <bgColor rgb="FFDDF2EA"/>
        </patternFill>
      </fill>
    </dxf>
    <dxf>
      <fill>
        <patternFill patternType="solid">
          <bgColor rgb="FFE5F2F5"/>
        </patternFill>
      </fill>
    </dxf>
    <dxf>
      <fill>
        <patternFill patternType="solid">
          <bgColor rgb="FFFFF1D6"/>
        </patternFill>
      </fill>
    </dxf>
    <dxf>
      <fill>
        <patternFill patternType="solid">
          <bgColor rgb="FFFFE7D8"/>
        </patternFill>
      </fill>
    </dxf>
    <dxf>
      <fill>
        <patternFill patternType="solid">
          <bgColor rgb="FFF9DDD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hysics_formula_structural_similarit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分析摘要"/>
      <sheetName val="逐行分析"/>
      <sheetName val="评分标准"/>
      <sheetName val="原始数据_仅存档"/>
    </sheetNames>
    <sheetDataSet>
      <sheetData sheetId="0"/>
      <sheetData sheetId="1"/>
      <sheetData sheetId="2">
        <row r="5">
          <cell r="A5" t="str">
            <v>高度相似</v>
          </cell>
          <cell r="B5">
            <v>95</v>
          </cell>
        </row>
        <row r="6">
          <cell r="A6" t="str">
            <v>较高相似</v>
          </cell>
          <cell r="B6">
            <v>80</v>
          </cell>
        </row>
        <row r="7">
          <cell r="A7" t="str">
            <v>中等相似</v>
          </cell>
          <cell r="B7">
            <v>60</v>
          </cell>
        </row>
        <row r="8">
          <cell r="A8" t="str">
            <v>较低相似</v>
          </cell>
          <cell r="B8">
            <v>40</v>
          </cell>
        </row>
        <row r="9">
          <cell r="A9" t="str">
            <v>不相似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61"/>
  <sheetViews>
    <sheetView tabSelected="1" zoomScaleSheetLayoutView="60" topLeftCell="A17" workbookViewId="0">
      <selection activeCell="AK21" sqref="AK21:AT21"/>
    </sheetView>
  </sheetViews>
  <sheetFormatPr defaultColWidth="9" defaultRowHeight="13.5"/>
  <cols>
    <col min="2" max="2" width="17.125" customWidth="1"/>
    <col min="3" max="3" width="22.5" customWidth="1"/>
    <col min="4" max="15" width="22.5" hidden="1" customWidth="1"/>
    <col min="16" max="16" width="26" customWidth="1"/>
    <col min="17" max="20" width="9" customWidth="1"/>
    <col min="23" max="24" width="9" hidden="1" customWidth="1"/>
    <col min="25" max="25" width="14.375" customWidth="1"/>
    <col min="26" max="27" width="14.375" hidden="1" customWidth="1"/>
    <col min="28" max="28" width="14.375" customWidth="1"/>
    <col min="29" max="30" width="14.375" hidden="1" customWidth="1"/>
    <col min="31" max="31" width="14.375" customWidth="1"/>
    <col min="32" max="33" width="14.375" hidden="1" customWidth="1"/>
    <col min="34" max="34" width="14.375" customWidth="1"/>
    <col min="35" max="36" width="14.375" hidden="1" customWidth="1"/>
    <col min="37" max="37" width="14.375" customWidth="1"/>
    <col min="38" max="39" width="14.375" hidden="1" customWidth="1"/>
    <col min="40" max="40" width="14.375" customWidth="1"/>
    <col min="41" max="42" width="14.375" hidden="1" customWidth="1"/>
    <col min="43" max="43" width="14.375" customWidth="1"/>
    <col min="44" max="45" width="14.375" hidden="1" customWidth="1"/>
    <col min="46" max="46" width="14.375" customWidth="1"/>
  </cols>
  <sheetData>
    <row r="1" ht="45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ht="16.5" spans="1:46">
      <c r="A2" t="s">
        <v>46</v>
      </c>
      <c r="B2">
        <v>1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s="7" t="s">
        <v>58</v>
      </c>
      <c r="O2" s="7" t="s">
        <v>59</v>
      </c>
      <c r="P2" s="7" t="s">
        <v>60</v>
      </c>
      <c r="Q2">
        <v>35</v>
      </c>
      <c r="R2">
        <v>0.00025042036</v>
      </c>
      <c r="S2" s="7" t="s">
        <v>61</v>
      </c>
      <c r="T2">
        <v>5</v>
      </c>
      <c r="U2" s="2">
        <v>15</v>
      </c>
      <c r="V2" s="3" t="str">
        <f>IF(U2&gt;=[1]评分标准!$B$5,[1]评分标准!$A$5,IF(U2&gt;=[1]评分标准!$B$6,[1]评分标准!$A$6,IF(U2&gt;=[1]评分标准!$B$7,[1]评分标准!$A$7,IF(U2&gt;=[1]评分标准!$B$8,[1]评分标准!$A$8,[1]评分标准!$A$9))))</f>
        <v>不相似</v>
      </c>
      <c r="W2" s="7" t="s">
        <v>62</v>
      </c>
      <c r="X2" s="7" t="s">
        <v>63</v>
      </c>
      <c r="Y2" s="7" t="s">
        <v>64</v>
      </c>
      <c r="Z2" s="7" t="s">
        <v>65</v>
      </c>
      <c r="AA2" s="7" t="s">
        <v>66</v>
      </c>
      <c r="AB2" s="7" t="s">
        <v>67</v>
      </c>
      <c r="AC2" s="7" t="s">
        <v>68</v>
      </c>
      <c r="AD2" s="7" t="s">
        <v>69</v>
      </c>
      <c r="AE2" s="7" t="s">
        <v>70</v>
      </c>
      <c r="AF2" s="7" t="s">
        <v>71</v>
      </c>
      <c r="AG2" s="7" t="s">
        <v>72</v>
      </c>
      <c r="AH2" s="7" t="s">
        <v>73</v>
      </c>
      <c r="AI2" s="7" t="s">
        <v>74</v>
      </c>
      <c r="AJ2" s="7" t="s">
        <v>75</v>
      </c>
      <c r="AK2" s="7" t="s">
        <v>76</v>
      </c>
      <c r="AL2" s="7" t="s">
        <v>77</v>
      </c>
      <c r="AM2" s="7" t="s">
        <v>78</v>
      </c>
      <c r="AN2" s="7" t="s">
        <v>79</v>
      </c>
      <c r="AO2" s="7" t="s">
        <v>80</v>
      </c>
      <c r="AP2" s="7" t="s">
        <v>81</v>
      </c>
      <c r="AQ2" s="7" t="s">
        <v>82</v>
      </c>
      <c r="AR2" s="7" t="s">
        <v>83</v>
      </c>
      <c r="AS2" s="7" t="s">
        <v>84</v>
      </c>
      <c r="AT2" s="7" t="s">
        <v>85</v>
      </c>
    </row>
    <row r="3" ht="16.5" spans="1:46">
      <c r="A3" t="s">
        <v>86</v>
      </c>
      <c r="B3">
        <v>1</v>
      </c>
      <c r="C3" t="s">
        <v>87</v>
      </c>
      <c r="D3" t="s">
        <v>88</v>
      </c>
      <c r="E3" t="s">
        <v>89</v>
      </c>
      <c r="F3" t="s">
        <v>51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57</v>
      </c>
      <c r="N3" s="7" t="s">
        <v>96</v>
      </c>
      <c r="O3" s="7" t="s">
        <v>97</v>
      </c>
      <c r="P3" s="7" t="s">
        <v>98</v>
      </c>
      <c r="Q3">
        <v>17</v>
      </c>
      <c r="R3" s="7" t="s">
        <v>99</v>
      </c>
      <c r="S3" s="7" t="s">
        <v>100</v>
      </c>
      <c r="T3">
        <v>3</v>
      </c>
      <c r="U3" s="4">
        <v>98</v>
      </c>
      <c r="V3" s="5" t="str">
        <f>IF(U3&gt;=[1]评分标准!$B$5,[1]评分标准!$A$5,IF(U3&gt;=[1]评分标准!$B$6,[1]评分标准!$A$6,IF(U3&gt;=[1]评分标准!$B$7,[1]评分标准!$A$7,IF(U3&gt;=[1]评分标准!$B$8,[1]评分标准!$A$8,[1]评分标准!$A$9))))</f>
        <v>高度相似</v>
      </c>
      <c r="W3" s="7" t="s">
        <v>101</v>
      </c>
      <c r="X3" s="7" t="s">
        <v>102</v>
      </c>
      <c r="Y3">
        <v>1</v>
      </c>
      <c r="Z3" s="7" t="s">
        <v>103</v>
      </c>
      <c r="AA3" s="7" t="s">
        <v>104</v>
      </c>
      <c r="AB3">
        <v>1</v>
      </c>
      <c r="AC3" s="7" t="s">
        <v>105</v>
      </c>
      <c r="AD3" s="7" t="s">
        <v>106</v>
      </c>
      <c r="AE3">
        <v>1</v>
      </c>
      <c r="AF3" s="7" t="s">
        <v>107</v>
      </c>
      <c r="AG3" s="7" t="s">
        <v>108</v>
      </c>
      <c r="AH3">
        <v>1</v>
      </c>
      <c r="AI3" s="7" t="s">
        <v>109</v>
      </c>
      <c r="AJ3" s="7" t="s">
        <v>110</v>
      </c>
      <c r="AK3" s="7" t="s">
        <v>111</v>
      </c>
      <c r="AL3" s="7" t="s">
        <v>112</v>
      </c>
      <c r="AM3" s="7" t="s">
        <v>113</v>
      </c>
      <c r="AN3" s="7" t="s">
        <v>114</v>
      </c>
      <c r="AO3" s="7" t="s">
        <v>115</v>
      </c>
      <c r="AP3" s="7" t="s">
        <v>116</v>
      </c>
      <c r="AQ3" s="7" t="s">
        <v>117</v>
      </c>
      <c r="AR3" s="7" t="s">
        <v>118</v>
      </c>
      <c r="AS3" s="7" t="s">
        <v>119</v>
      </c>
      <c r="AT3" s="7" t="s">
        <v>120</v>
      </c>
    </row>
    <row r="4" ht="16.5" spans="1:46">
      <c r="A4" t="s">
        <v>121</v>
      </c>
      <c r="B4">
        <v>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I4" t="s">
        <v>128</v>
      </c>
      <c r="J4" t="s">
        <v>124</v>
      </c>
      <c r="K4" t="s">
        <v>129</v>
      </c>
      <c r="L4" t="s">
        <v>130</v>
      </c>
      <c r="M4" t="s">
        <v>131</v>
      </c>
      <c r="N4" s="7" t="s">
        <v>132</v>
      </c>
      <c r="O4" s="7" t="s">
        <v>133</v>
      </c>
      <c r="P4" s="7" t="s">
        <v>134</v>
      </c>
      <c r="Q4">
        <v>15</v>
      </c>
      <c r="R4">
        <v>0.0004889251</v>
      </c>
      <c r="S4" s="7" t="s">
        <v>135</v>
      </c>
      <c r="T4">
        <v>2</v>
      </c>
      <c r="U4" s="2">
        <v>65</v>
      </c>
      <c r="V4" s="3" t="str">
        <f>IF(U4&gt;=[1]评分标准!$B$5,[1]评分标准!$A$5,IF(U4&gt;=[1]评分标准!$B$6,[1]评分标准!$A$6,IF(U4&gt;=[1]评分标准!$B$7,[1]评分标准!$A$7,IF(U4&gt;=[1]评分标准!$B$8,[1]评分标准!$A$8,[1]评分标准!$A$9))))</f>
        <v>中等相似</v>
      </c>
      <c r="W4" s="7" t="s">
        <v>136</v>
      </c>
      <c r="X4" s="7" t="s">
        <v>137</v>
      </c>
      <c r="Y4" s="7" t="s">
        <v>138</v>
      </c>
      <c r="Z4" s="7" t="s">
        <v>139</v>
      </c>
      <c r="AA4" s="7" t="s">
        <v>140</v>
      </c>
      <c r="AB4" s="7" t="s">
        <v>141</v>
      </c>
      <c r="AC4" s="7" t="s">
        <v>142</v>
      </c>
      <c r="AD4" s="7" t="s">
        <v>143</v>
      </c>
      <c r="AE4" s="7" t="s">
        <v>144</v>
      </c>
      <c r="AF4" s="7" t="s">
        <v>145</v>
      </c>
      <c r="AG4" s="7" t="s">
        <v>146</v>
      </c>
      <c r="AH4" s="7" t="s">
        <v>147</v>
      </c>
      <c r="AI4" s="7" t="s">
        <v>148</v>
      </c>
      <c r="AJ4" s="7" t="s">
        <v>149</v>
      </c>
      <c r="AK4" s="7" t="s">
        <v>150</v>
      </c>
      <c r="AL4" s="7" t="s">
        <v>151</v>
      </c>
      <c r="AM4" s="7" t="s">
        <v>152</v>
      </c>
      <c r="AN4" s="7" t="s">
        <v>153</v>
      </c>
      <c r="AO4" s="7" t="s">
        <v>154</v>
      </c>
      <c r="AP4" s="7" t="s">
        <v>155</v>
      </c>
      <c r="AQ4" s="7" t="s">
        <v>156</v>
      </c>
      <c r="AR4" s="7" t="s">
        <v>157</v>
      </c>
      <c r="AS4" s="7" t="s">
        <v>158</v>
      </c>
      <c r="AT4" s="7" t="s">
        <v>159</v>
      </c>
    </row>
    <row r="5" ht="16.5" spans="1:46">
      <c r="A5" t="s">
        <v>160</v>
      </c>
      <c r="B5">
        <v>1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  <c r="H5" t="s">
        <v>166</v>
      </c>
      <c r="I5" t="s">
        <v>167</v>
      </c>
      <c r="J5" t="s">
        <v>168</v>
      </c>
      <c r="K5" t="s">
        <v>169</v>
      </c>
      <c r="L5" t="s">
        <v>170</v>
      </c>
      <c r="M5" t="s">
        <v>171</v>
      </c>
      <c r="N5" s="7" t="s">
        <v>172</v>
      </c>
      <c r="O5" s="7" t="s">
        <v>173</v>
      </c>
      <c r="P5" s="7" t="s">
        <v>174</v>
      </c>
      <c r="Q5">
        <v>39</v>
      </c>
      <c r="R5">
        <v>0.00127088</v>
      </c>
      <c r="S5" s="7" t="s">
        <v>175</v>
      </c>
      <c r="T5">
        <v>4</v>
      </c>
      <c r="U5" s="4">
        <v>98</v>
      </c>
      <c r="V5" s="5" t="str">
        <f>IF(U5&gt;=[1]评分标准!$B$5,[1]评分标准!$A$5,IF(U5&gt;=[1]评分标准!$B$6,[1]评分标准!$A$6,IF(U5&gt;=[1]评分标准!$B$7,[1]评分标准!$A$7,IF(U5&gt;=[1]评分标准!$B$8,[1]评分标准!$A$8,[1]评分标准!$A$9))))</f>
        <v>高度相似</v>
      </c>
      <c r="W5" s="7" t="s">
        <v>176</v>
      </c>
      <c r="X5" s="7" t="s">
        <v>177</v>
      </c>
      <c r="Y5">
        <v>1</v>
      </c>
      <c r="Z5" s="7" t="s">
        <v>178</v>
      </c>
      <c r="AA5" s="7" t="s">
        <v>179</v>
      </c>
      <c r="AB5">
        <v>1</v>
      </c>
      <c r="AC5" s="7" t="s">
        <v>180</v>
      </c>
      <c r="AD5" s="7" t="s">
        <v>181</v>
      </c>
      <c r="AE5">
        <v>1</v>
      </c>
      <c r="AF5" s="7" t="s">
        <v>182</v>
      </c>
      <c r="AG5" s="7" t="s">
        <v>183</v>
      </c>
      <c r="AH5">
        <v>1</v>
      </c>
      <c r="AI5" s="7" t="s">
        <v>184</v>
      </c>
      <c r="AJ5" s="7" t="s">
        <v>185</v>
      </c>
      <c r="AK5" s="7" t="s">
        <v>186</v>
      </c>
      <c r="AL5" s="7" t="s">
        <v>187</v>
      </c>
      <c r="AM5" s="7" t="s">
        <v>188</v>
      </c>
      <c r="AN5" s="7" t="s">
        <v>189</v>
      </c>
      <c r="AO5" s="7" t="s">
        <v>190</v>
      </c>
      <c r="AP5" s="7" t="s">
        <v>191</v>
      </c>
      <c r="AQ5" s="7" t="s">
        <v>192</v>
      </c>
      <c r="AR5" s="7" t="s">
        <v>193</v>
      </c>
      <c r="AS5" s="7" t="s">
        <v>194</v>
      </c>
      <c r="AT5" s="7" t="s">
        <v>195</v>
      </c>
    </row>
    <row r="6" ht="16.5" spans="1:46">
      <c r="A6" t="s">
        <v>196</v>
      </c>
      <c r="B6">
        <v>1</v>
      </c>
      <c r="C6" t="s">
        <v>197</v>
      </c>
      <c r="D6" t="s">
        <v>198</v>
      </c>
      <c r="E6" t="s">
        <v>199</v>
      </c>
      <c r="F6" t="s">
        <v>200</v>
      </c>
      <c r="G6" t="s">
        <v>201</v>
      </c>
      <c r="H6" t="s">
        <v>202</v>
      </c>
      <c r="I6" t="s">
        <v>128</v>
      </c>
      <c r="J6" t="s">
        <v>199</v>
      </c>
      <c r="K6" t="s">
        <v>203</v>
      </c>
      <c r="L6" t="s">
        <v>204</v>
      </c>
      <c r="M6" t="s">
        <v>57</v>
      </c>
      <c r="N6" s="7" t="s">
        <v>205</v>
      </c>
      <c r="O6" s="7" t="s">
        <v>206</v>
      </c>
      <c r="P6" s="7" t="s">
        <v>207</v>
      </c>
      <c r="Q6">
        <v>26</v>
      </c>
      <c r="R6">
        <v>0.001264911</v>
      </c>
      <c r="S6" s="7" t="s">
        <v>208</v>
      </c>
      <c r="T6">
        <v>4</v>
      </c>
      <c r="U6" s="2">
        <v>98</v>
      </c>
      <c r="V6" s="3" t="str">
        <f>IF(U6&gt;=[1]评分标准!$B$5,[1]评分标准!$A$5,IF(U6&gt;=[1]评分标准!$B$6,[1]评分标准!$A$6,IF(U6&gt;=[1]评分标准!$B$7,[1]评分标准!$A$7,IF(U6&gt;=[1]评分标准!$B$8,[1]评分标准!$A$8,[1]评分标准!$A$9))))</f>
        <v>高度相似</v>
      </c>
      <c r="W6" s="7" t="s">
        <v>209</v>
      </c>
      <c r="X6" s="7" t="s">
        <v>210</v>
      </c>
      <c r="Y6">
        <v>1</v>
      </c>
      <c r="Z6" s="7" t="s">
        <v>211</v>
      </c>
      <c r="AA6" s="7" t="s">
        <v>212</v>
      </c>
      <c r="AB6">
        <v>1</v>
      </c>
      <c r="AC6" s="7" t="s">
        <v>213</v>
      </c>
      <c r="AD6" s="7" t="s">
        <v>214</v>
      </c>
      <c r="AE6">
        <v>1</v>
      </c>
      <c r="AF6" s="7" t="s">
        <v>215</v>
      </c>
      <c r="AG6" s="7" t="s">
        <v>216</v>
      </c>
      <c r="AH6">
        <v>1</v>
      </c>
      <c r="AI6" s="7" t="s">
        <v>217</v>
      </c>
      <c r="AJ6" s="7" t="s">
        <v>218</v>
      </c>
      <c r="AK6" s="7" t="s">
        <v>219</v>
      </c>
      <c r="AL6" s="7" t="s">
        <v>220</v>
      </c>
      <c r="AM6" s="7" t="s">
        <v>221</v>
      </c>
      <c r="AN6" s="7" t="s">
        <v>222</v>
      </c>
      <c r="AO6" s="7" t="s">
        <v>223</v>
      </c>
      <c r="AP6" s="7" t="s">
        <v>224</v>
      </c>
      <c r="AQ6" s="7" t="s">
        <v>225</v>
      </c>
      <c r="AR6" s="7" t="s">
        <v>226</v>
      </c>
      <c r="AS6" s="7" t="s">
        <v>227</v>
      </c>
      <c r="AT6" s="7" t="s">
        <v>228</v>
      </c>
    </row>
    <row r="7" ht="16.5" spans="1:46">
      <c r="A7" t="s">
        <v>229</v>
      </c>
      <c r="B7">
        <v>1</v>
      </c>
      <c r="C7" t="s">
        <v>230</v>
      </c>
      <c r="D7" t="s">
        <v>231</v>
      </c>
      <c r="E7" t="e">
        <f>-E_n/(mom*COS(theta))</f>
        <v>#NAME?</v>
      </c>
      <c r="F7" t="s">
        <v>232</v>
      </c>
      <c r="G7" t="s">
        <v>233</v>
      </c>
      <c r="H7" t="s">
        <v>234</v>
      </c>
      <c r="I7" t="s">
        <v>128</v>
      </c>
      <c r="J7" t="e">
        <f>-E_n/(mom*COS(theta))</f>
        <v>#NAME?</v>
      </c>
      <c r="K7" t="s">
        <v>235</v>
      </c>
      <c r="L7" t="s">
        <v>236</v>
      </c>
      <c r="M7" t="s">
        <v>57</v>
      </c>
      <c r="N7" s="7" t="s">
        <v>237</v>
      </c>
      <c r="O7" s="7" t="s">
        <v>238</v>
      </c>
      <c r="P7" s="7" t="s">
        <v>239</v>
      </c>
      <c r="Q7">
        <v>23</v>
      </c>
      <c r="R7">
        <v>0.0009866684</v>
      </c>
      <c r="S7" s="7" t="s">
        <v>240</v>
      </c>
      <c r="T7">
        <v>6</v>
      </c>
      <c r="U7" s="4">
        <v>98</v>
      </c>
      <c r="V7" s="5" t="str">
        <f>IF(U7&gt;=[1]评分标准!$B$5,[1]评分标准!$A$5,IF(U7&gt;=[1]评分标准!$B$6,[1]评分标准!$A$6,IF(U7&gt;=[1]评分标准!$B$7,[1]评分标准!$A$7,IF(U7&gt;=[1]评分标准!$B$8,[1]评分标准!$A$8,[1]评分标准!$A$9))))</f>
        <v>高度相似</v>
      </c>
      <c r="W7" s="7" t="s">
        <v>241</v>
      </c>
      <c r="X7" s="7" t="s">
        <v>242</v>
      </c>
      <c r="Y7">
        <v>1</v>
      </c>
      <c r="Z7" s="7" t="s">
        <v>243</v>
      </c>
      <c r="AA7" s="7" t="s">
        <v>244</v>
      </c>
      <c r="AB7">
        <v>1</v>
      </c>
      <c r="AC7" s="7" t="s">
        <v>245</v>
      </c>
      <c r="AD7" s="7" t="s">
        <v>246</v>
      </c>
      <c r="AE7">
        <v>1</v>
      </c>
      <c r="AF7" s="7" t="s">
        <v>247</v>
      </c>
      <c r="AG7" s="7" t="s">
        <v>248</v>
      </c>
      <c r="AH7">
        <v>1</v>
      </c>
      <c r="AI7" s="7" t="s">
        <v>249</v>
      </c>
      <c r="AJ7" s="7" t="s">
        <v>250</v>
      </c>
      <c r="AK7" s="7" t="s">
        <v>251</v>
      </c>
      <c r="AL7" s="7" t="s">
        <v>252</v>
      </c>
      <c r="AM7" s="7" t="s">
        <v>253</v>
      </c>
      <c r="AN7" s="7" t="s">
        <v>254</v>
      </c>
      <c r="AO7" s="7" t="s">
        <v>255</v>
      </c>
      <c r="AP7" s="7" t="s">
        <v>256</v>
      </c>
      <c r="AQ7" s="7" t="s">
        <v>257</v>
      </c>
      <c r="AR7" s="7" t="s">
        <v>258</v>
      </c>
      <c r="AS7" s="7" t="s">
        <v>259</v>
      </c>
      <c r="AT7" s="7" t="s">
        <v>260</v>
      </c>
    </row>
    <row r="8" ht="16.5" spans="1:46">
      <c r="A8" t="s">
        <v>261</v>
      </c>
      <c r="B8">
        <v>1</v>
      </c>
      <c r="C8" t="s">
        <v>262</v>
      </c>
      <c r="D8" t="s">
        <v>263</v>
      </c>
      <c r="E8" t="s">
        <v>264</v>
      </c>
      <c r="F8" t="s">
        <v>265</v>
      </c>
      <c r="G8" t="s">
        <v>266</v>
      </c>
      <c r="H8" t="s">
        <v>234</v>
      </c>
      <c r="I8" t="s">
        <v>128</v>
      </c>
      <c r="J8" t="s">
        <v>264</v>
      </c>
      <c r="K8" t="s">
        <v>267</v>
      </c>
      <c r="L8" t="s">
        <v>268</v>
      </c>
      <c r="M8" t="s">
        <v>269</v>
      </c>
      <c r="N8" s="7" t="s">
        <v>270</v>
      </c>
      <c r="O8" s="7" t="s">
        <v>271</v>
      </c>
      <c r="P8">
        <v>-7.20430152994384</v>
      </c>
      <c r="Q8">
        <v>35</v>
      </c>
      <c r="R8">
        <v>0.004437976</v>
      </c>
      <c r="S8" s="7" t="s">
        <v>272</v>
      </c>
      <c r="T8">
        <v>5</v>
      </c>
      <c r="U8" s="2">
        <v>45</v>
      </c>
      <c r="V8" s="3" t="str">
        <f>IF(U8&gt;=[1]评分标准!$B$5,[1]评分标准!$A$5,IF(U8&gt;=[1]评分标准!$B$6,[1]评分标准!$A$6,IF(U8&gt;=[1]评分标准!$B$7,[1]评分标准!$A$7,IF(U8&gt;=[1]评分标准!$B$8,[1]评分标准!$A$8,[1]评分标准!$A$9))))</f>
        <v>较低相似</v>
      </c>
      <c r="W8" s="7" t="s">
        <v>273</v>
      </c>
      <c r="X8" s="7" t="s">
        <v>274</v>
      </c>
      <c r="Y8" s="7" t="s">
        <v>275</v>
      </c>
      <c r="Z8" s="7" t="s">
        <v>276</v>
      </c>
      <c r="AA8" s="7" t="s">
        <v>277</v>
      </c>
      <c r="AB8" s="7" t="s">
        <v>278</v>
      </c>
      <c r="AC8" s="7" t="s">
        <v>279</v>
      </c>
      <c r="AD8" s="7" t="s">
        <v>280</v>
      </c>
      <c r="AE8" s="7" t="s">
        <v>281</v>
      </c>
      <c r="AF8" s="7" t="s">
        <v>282</v>
      </c>
      <c r="AG8" s="7" t="s">
        <v>283</v>
      </c>
      <c r="AH8" s="7" t="s">
        <v>284</v>
      </c>
      <c r="AI8" s="7" t="s">
        <v>285</v>
      </c>
      <c r="AJ8" s="7" t="s">
        <v>286</v>
      </c>
      <c r="AK8" s="7" t="s">
        <v>287</v>
      </c>
      <c r="AL8" s="7" t="s">
        <v>288</v>
      </c>
      <c r="AM8" s="7" t="s">
        <v>289</v>
      </c>
      <c r="AN8" s="7" t="s">
        <v>290</v>
      </c>
      <c r="AO8" s="7" t="s">
        <v>291</v>
      </c>
      <c r="AP8" s="7" t="s">
        <v>292</v>
      </c>
      <c r="AQ8" s="7" t="s">
        <v>293</v>
      </c>
      <c r="AR8" s="7" t="s">
        <v>294</v>
      </c>
      <c r="AS8" s="7" t="s">
        <v>295</v>
      </c>
      <c r="AT8" s="7" t="s">
        <v>296</v>
      </c>
    </row>
    <row r="9" ht="16.5" spans="1:46">
      <c r="A9" t="s">
        <v>297</v>
      </c>
      <c r="B9">
        <v>1</v>
      </c>
      <c r="C9" t="s">
        <v>298</v>
      </c>
      <c r="D9" t="s">
        <v>299</v>
      </c>
      <c r="E9" t="s">
        <v>300</v>
      </c>
      <c r="F9" t="s">
        <v>50</v>
      </c>
      <c r="G9" t="s">
        <v>301</v>
      </c>
      <c r="H9" t="s">
        <v>302</v>
      </c>
      <c r="I9" t="s">
        <v>303</v>
      </c>
      <c r="J9" t="s">
        <v>304</v>
      </c>
      <c r="K9" t="s">
        <v>305</v>
      </c>
      <c r="L9" t="s">
        <v>306</v>
      </c>
      <c r="M9" t="s">
        <v>131</v>
      </c>
      <c r="N9" s="7" t="s">
        <v>307</v>
      </c>
      <c r="O9" s="7" t="s">
        <v>308</v>
      </c>
      <c r="P9" s="7" t="s">
        <v>309</v>
      </c>
      <c r="Q9">
        <v>26</v>
      </c>
      <c r="R9">
        <v>0.00012453702</v>
      </c>
      <c r="S9" s="7" t="s">
        <v>310</v>
      </c>
      <c r="T9">
        <v>2</v>
      </c>
      <c r="U9" s="4">
        <v>98</v>
      </c>
      <c r="V9" s="5" t="str">
        <f>IF(U9&gt;=[1]评分标准!$B$5,[1]评分标准!$A$5,IF(U9&gt;=[1]评分标准!$B$6,[1]评分标准!$A$6,IF(U9&gt;=[1]评分标准!$B$7,[1]评分标准!$A$7,IF(U9&gt;=[1]评分标准!$B$8,[1]评分标准!$A$8,[1]评分标准!$A$9))))</f>
        <v>高度相似</v>
      </c>
      <c r="W9" s="7" t="s">
        <v>311</v>
      </c>
      <c r="X9" s="7" t="s">
        <v>312</v>
      </c>
      <c r="Y9">
        <v>1</v>
      </c>
      <c r="Z9" s="7" t="s">
        <v>313</v>
      </c>
      <c r="AA9" s="7" t="s">
        <v>314</v>
      </c>
      <c r="AB9">
        <v>1</v>
      </c>
      <c r="AC9" s="7" t="s">
        <v>315</v>
      </c>
      <c r="AD9" s="7" t="s">
        <v>316</v>
      </c>
      <c r="AE9">
        <v>1</v>
      </c>
      <c r="AF9" s="7" t="s">
        <v>317</v>
      </c>
      <c r="AG9" s="7" t="s">
        <v>318</v>
      </c>
      <c r="AH9">
        <v>1</v>
      </c>
      <c r="AI9" s="7" t="s">
        <v>319</v>
      </c>
      <c r="AJ9" s="7" t="s">
        <v>320</v>
      </c>
      <c r="AK9" s="7" t="s">
        <v>321</v>
      </c>
      <c r="AL9" s="7" t="s">
        <v>322</v>
      </c>
      <c r="AM9" s="7" t="s">
        <v>323</v>
      </c>
      <c r="AN9" s="7" t="s">
        <v>324</v>
      </c>
      <c r="AO9" s="7" t="s">
        <v>325</v>
      </c>
      <c r="AP9" s="7" t="s">
        <v>326</v>
      </c>
      <c r="AQ9" s="7" t="s">
        <v>327</v>
      </c>
      <c r="AR9" s="7" t="s">
        <v>328</v>
      </c>
      <c r="AS9" s="7" t="s">
        <v>329</v>
      </c>
      <c r="AT9" s="7" t="s">
        <v>330</v>
      </c>
    </row>
    <row r="10" ht="16.5" spans="1:46">
      <c r="A10" t="s">
        <v>331</v>
      </c>
      <c r="B10">
        <v>1</v>
      </c>
      <c r="C10" t="s">
        <v>332</v>
      </c>
      <c r="D10" t="s">
        <v>333</v>
      </c>
      <c r="E10" t="s">
        <v>334</v>
      </c>
      <c r="F10" t="s">
        <v>200</v>
      </c>
      <c r="G10" t="s">
        <v>335</v>
      </c>
      <c r="H10" t="s">
        <v>336</v>
      </c>
      <c r="I10" t="s">
        <v>337</v>
      </c>
      <c r="J10" t="s">
        <v>338</v>
      </c>
      <c r="K10" t="s">
        <v>339</v>
      </c>
      <c r="L10" t="s">
        <v>340</v>
      </c>
      <c r="M10" t="s">
        <v>269</v>
      </c>
      <c r="N10" s="7" t="s">
        <v>341</v>
      </c>
      <c r="O10" s="7" t="s">
        <v>342</v>
      </c>
      <c r="P10" s="7" t="s">
        <v>343</v>
      </c>
      <c r="Q10">
        <v>36</v>
      </c>
      <c r="R10">
        <v>0.00024343526</v>
      </c>
      <c r="S10" s="7" t="s">
        <v>344</v>
      </c>
      <c r="T10">
        <v>2</v>
      </c>
      <c r="U10" s="2">
        <v>98</v>
      </c>
      <c r="V10" s="3" t="str">
        <f>IF(U10&gt;=[1]评分标准!$B$5,[1]评分标准!$A$5,IF(U10&gt;=[1]评分标准!$B$6,[1]评分标准!$A$6,IF(U10&gt;=[1]评分标准!$B$7,[1]评分标准!$A$7,IF(U10&gt;=[1]评分标准!$B$8,[1]评分标准!$A$8,[1]评分标准!$A$9))))</f>
        <v>高度相似</v>
      </c>
      <c r="W10" s="7" t="s">
        <v>345</v>
      </c>
      <c r="X10" s="7" t="s">
        <v>346</v>
      </c>
      <c r="Y10">
        <v>1</v>
      </c>
      <c r="Z10" s="7" t="s">
        <v>347</v>
      </c>
      <c r="AA10" s="7" t="s">
        <v>348</v>
      </c>
      <c r="AB10">
        <v>1</v>
      </c>
      <c r="AC10" s="7" t="s">
        <v>349</v>
      </c>
      <c r="AD10" s="7" t="s">
        <v>350</v>
      </c>
      <c r="AE10">
        <v>1</v>
      </c>
      <c r="AF10" s="7" t="s">
        <v>351</v>
      </c>
      <c r="AG10" s="7" t="s">
        <v>352</v>
      </c>
      <c r="AH10">
        <v>1</v>
      </c>
      <c r="AI10" s="7" t="s">
        <v>353</v>
      </c>
      <c r="AJ10" s="7" t="s">
        <v>354</v>
      </c>
      <c r="AK10" s="7" t="s">
        <v>355</v>
      </c>
      <c r="AL10" s="7" t="s">
        <v>356</v>
      </c>
      <c r="AM10" s="7" t="s">
        <v>357</v>
      </c>
      <c r="AN10" s="7" t="s">
        <v>358</v>
      </c>
      <c r="AO10" s="7" t="s">
        <v>359</v>
      </c>
      <c r="AP10" s="7" t="s">
        <v>360</v>
      </c>
      <c r="AQ10" s="7" t="s">
        <v>361</v>
      </c>
      <c r="AR10" s="7" t="s">
        <v>362</v>
      </c>
      <c r="AS10" s="7" t="s">
        <v>363</v>
      </c>
      <c r="AT10" s="7" t="s">
        <v>364</v>
      </c>
    </row>
    <row r="11" ht="16.5" spans="1:46">
      <c r="A11" t="s">
        <v>365</v>
      </c>
      <c r="B11">
        <v>1</v>
      </c>
      <c r="C11" t="s">
        <v>366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 t="s">
        <v>372</v>
      </c>
      <c r="J11" t="s">
        <v>373</v>
      </c>
      <c r="K11" t="s">
        <v>374</v>
      </c>
      <c r="L11" t="s">
        <v>375</v>
      </c>
      <c r="M11" t="s">
        <v>376</v>
      </c>
      <c r="N11" s="7" t="s">
        <v>377</v>
      </c>
      <c r="O11" s="7" t="s">
        <v>378</v>
      </c>
      <c r="P11" s="7" t="s">
        <v>379</v>
      </c>
      <c r="Q11">
        <v>32</v>
      </c>
      <c r="R11" s="7" t="s">
        <v>380</v>
      </c>
      <c r="S11" s="7" t="s">
        <v>381</v>
      </c>
      <c r="T11">
        <v>1</v>
      </c>
      <c r="U11" s="4">
        <v>35</v>
      </c>
      <c r="V11" s="5" t="str">
        <f>IF(U11&gt;=[1]评分标准!$B$5,[1]评分标准!$A$5,IF(U11&gt;=[1]评分标准!$B$6,[1]评分标准!$A$6,IF(U11&gt;=[1]评分标准!$B$7,[1]评分标准!$A$7,IF(U11&gt;=[1]评分标准!$B$8,[1]评分标准!$A$8,[1]评分标准!$A$9))))</f>
        <v>不相似</v>
      </c>
      <c r="W11" s="7" t="s">
        <v>382</v>
      </c>
      <c r="X11" s="7" t="s">
        <v>383</v>
      </c>
      <c r="Y11" s="7" t="s">
        <v>384</v>
      </c>
      <c r="Z11" s="7" t="s">
        <v>385</v>
      </c>
      <c r="AA11" s="7" t="s">
        <v>386</v>
      </c>
      <c r="AB11" s="7" t="s">
        <v>387</v>
      </c>
      <c r="AC11" s="7" t="s">
        <v>388</v>
      </c>
      <c r="AD11" s="7" t="s">
        <v>389</v>
      </c>
      <c r="AE11" s="7" t="s">
        <v>390</v>
      </c>
      <c r="AF11" s="7" t="s">
        <v>391</v>
      </c>
      <c r="AG11" s="7" t="s">
        <v>392</v>
      </c>
      <c r="AH11" s="7" t="s">
        <v>393</v>
      </c>
      <c r="AI11" s="7" t="s">
        <v>394</v>
      </c>
      <c r="AJ11" s="7" t="s">
        <v>395</v>
      </c>
      <c r="AK11" s="7" t="s">
        <v>396</v>
      </c>
      <c r="AL11" s="7" t="s">
        <v>397</v>
      </c>
      <c r="AM11" s="7" t="s">
        <v>398</v>
      </c>
      <c r="AN11" s="7" t="s">
        <v>399</v>
      </c>
      <c r="AO11" s="7" t="s">
        <v>400</v>
      </c>
      <c r="AP11" s="7" t="s">
        <v>401</v>
      </c>
      <c r="AQ11" s="7" t="s">
        <v>402</v>
      </c>
      <c r="AR11" s="7" t="s">
        <v>403</v>
      </c>
      <c r="AS11" s="7" t="s">
        <v>404</v>
      </c>
      <c r="AT11" s="7" t="s">
        <v>405</v>
      </c>
    </row>
    <row r="12" ht="16.5" spans="1:46">
      <c r="A12" t="s">
        <v>406</v>
      </c>
      <c r="B12">
        <v>1</v>
      </c>
      <c r="C12" t="s">
        <v>407</v>
      </c>
      <c r="D12" t="s">
        <v>408</v>
      </c>
      <c r="E12" t="s">
        <v>409</v>
      </c>
      <c r="F12" t="s">
        <v>410</v>
      </c>
      <c r="G12" t="s">
        <v>411</v>
      </c>
      <c r="H12" t="s">
        <v>412</v>
      </c>
      <c r="I12" t="s">
        <v>413</v>
      </c>
      <c r="J12" t="s">
        <v>414</v>
      </c>
      <c r="K12" t="s">
        <v>415</v>
      </c>
      <c r="L12" t="s">
        <v>416</v>
      </c>
      <c r="M12" t="s">
        <v>376</v>
      </c>
      <c r="N12" s="7" t="s">
        <v>417</v>
      </c>
      <c r="O12" s="7" t="s">
        <v>418</v>
      </c>
      <c r="P12" s="7" t="s">
        <v>419</v>
      </c>
      <c r="Q12">
        <v>32</v>
      </c>
      <c r="R12">
        <v>0.00025419178</v>
      </c>
      <c r="S12" s="7" t="s">
        <v>420</v>
      </c>
      <c r="T12">
        <v>2</v>
      </c>
      <c r="U12" s="2">
        <v>98</v>
      </c>
      <c r="V12" s="3" t="str">
        <f>IF(U12&gt;=[1]评分标准!$B$5,[1]评分标准!$A$5,IF(U12&gt;=[1]评分标准!$B$6,[1]评分标准!$A$6,IF(U12&gt;=[1]评分标准!$B$7,[1]评分标准!$A$7,IF(U12&gt;=[1]评分标准!$B$8,[1]评分标准!$A$8,[1]评分标准!$A$9))))</f>
        <v>高度相似</v>
      </c>
      <c r="W12" s="7" t="s">
        <v>421</v>
      </c>
      <c r="X12" s="7" t="s">
        <v>422</v>
      </c>
      <c r="Y12" s="7" t="s">
        <v>423</v>
      </c>
      <c r="Z12" s="7" t="s">
        <v>424</v>
      </c>
      <c r="AA12" s="7" t="s">
        <v>425</v>
      </c>
      <c r="AB12" s="7" t="s">
        <v>426</v>
      </c>
      <c r="AC12" s="7" t="s">
        <v>427</v>
      </c>
      <c r="AD12" s="7" t="s">
        <v>428</v>
      </c>
      <c r="AE12" s="7" t="s">
        <v>429</v>
      </c>
      <c r="AF12" s="7" t="s">
        <v>430</v>
      </c>
      <c r="AG12" s="7" t="s">
        <v>431</v>
      </c>
      <c r="AH12" s="7" t="s">
        <v>432</v>
      </c>
      <c r="AI12" s="7" t="s">
        <v>433</v>
      </c>
      <c r="AJ12" s="7" t="s">
        <v>434</v>
      </c>
      <c r="AK12" s="7" t="s">
        <v>435</v>
      </c>
      <c r="AL12" s="7" t="s">
        <v>436</v>
      </c>
      <c r="AM12" s="7" t="s">
        <v>437</v>
      </c>
      <c r="AN12" s="7" t="s">
        <v>438</v>
      </c>
      <c r="AO12" s="7" t="s">
        <v>439</v>
      </c>
      <c r="AP12" s="7" t="s">
        <v>440</v>
      </c>
      <c r="AQ12" s="7" t="s">
        <v>441</v>
      </c>
      <c r="AR12" s="7" t="s">
        <v>442</v>
      </c>
      <c r="AS12" s="7" t="s">
        <v>443</v>
      </c>
      <c r="AT12" s="7" t="s">
        <v>444</v>
      </c>
    </row>
    <row r="13" ht="16.5" spans="1:46">
      <c r="A13" t="s">
        <v>445</v>
      </c>
      <c r="B13">
        <v>1</v>
      </c>
      <c r="C13" t="s">
        <v>446</v>
      </c>
      <c r="D13" t="s">
        <v>447</v>
      </c>
      <c r="E13" t="s">
        <v>448</v>
      </c>
      <c r="F13" t="s">
        <v>449</v>
      </c>
      <c r="G13" t="s">
        <v>450</v>
      </c>
      <c r="H13" t="s">
        <v>451</v>
      </c>
      <c r="I13" t="s">
        <v>452</v>
      </c>
      <c r="J13" t="s">
        <v>453</v>
      </c>
      <c r="K13" t="s">
        <v>454</v>
      </c>
      <c r="L13" t="s">
        <v>455</v>
      </c>
      <c r="M13" t="s">
        <v>57</v>
      </c>
      <c r="N13" s="7" t="s">
        <v>456</v>
      </c>
      <c r="O13" s="7" t="s">
        <v>457</v>
      </c>
      <c r="P13" s="7" t="s">
        <v>458</v>
      </c>
      <c r="Q13">
        <v>31</v>
      </c>
      <c r="R13">
        <v>0.00048304143</v>
      </c>
      <c r="S13" s="7" t="s">
        <v>459</v>
      </c>
      <c r="T13">
        <v>2</v>
      </c>
      <c r="U13" s="4">
        <v>25</v>
      </c>
      <c r="V13" s="5" t="str">
        <f>IF(U13&gt;=[1]评分标准!$B$5,[1]评分标准!$A$5,IF(U13&gt;=[1]评分标准!$B$6,[1]评分标准!$A$6,IF(U13&gt;=[1]评分标准!$B$7,[1]评分标准!$A$7,IF(U13&gt;=[1]评分标准!$B$8,[1]评分标准!$A$8,[1]评分标准!$A$9))))</f>
        <v>不相似</v>
      </c>
      <c r="W13" s="7" t="s">
        <v>460</v>
      </c>
      <c r="X13" s="7" t="s">
        <v>461</v>
      </c>
      <c r="Y13" s="7" t="s">
        <v>462</v>
      </c>
      <c r="Z13" s="7" t="s">
        <v>463</v>
      </c>
      <c r="AA13" s="7" t="s">
        <v>464</v>
      </c>
      <c r="AB13" s="7" t="s">
        <v>465</v>
      </c>
      <c r="AC13" s="7" t="s">
        <v>466</v>
      </c>
      <c r="AD13" s="7" t="s">
        <v>467</v>
      </c>
      <c r="AE13" s="7" t="s">
        <v>468</v>
      </c>
      <c r="AF13" s="7" t="s">
        <v>469</v>
      </c>
      <c r="AG13" s="7" t="s">
        <v>470</v>
      </c>
      <c r="AH13" s="7" t="s">
        <v>471</v>
      </c>
      <c r="AI13" s="7" t="s">
        <v>472</v>
      </c>
      <c r="AJ13" s="7" t="s">
        <v>473</v>
      </c>
      <c r="AK13" s="7" t="s">
        <v>474</v>
      </c>
      <c r="AL13" s="7" t="s">
        <v>475</v>
      </c>
      <c r="AM13" s="7" t="s">
        <v>476</v>
      </c>
      <c r="AN13" s="7" t="s">
        <v>477</v>
      </c>
      <c r="AO13" s="7" t="s">
        <v>478</v>
      </c>
      <c r="AP13" s="7" t="s">
        <v>479</v>
      </c>
      <c r="AQ13" s="7" t="s">
        <v>480</v>
      </c>
      <c r="AR13" s="7" t="s">
        <v>481</v>
      </c>
      <c r="AS13" s="7" t="s">
        <v>482</v>
      </c>
      <c r="AT13" s="7" t="s">
        <v>483</v>
      </c>
    </row>
    <row r="14" ht="16.5" spans="1:46">
      <c r="A14" t="s">
        <v>484</v>
      </c>
      <c r="B14">
        <v>1</v>
      </c>
      <c r="C14" t="s">
        <v>485</v>
      </c>
      <c r="D14" t="s">
        <v>486</v>
      </c>
      <c r="E14" t="s">
        <v>487</v>
      </c>
      <c r="F14" t="s">
        <v>488</v>
      </c>
      <c r="G14" t="s">
        <v>51</v>
      </c>
      <c r="H14" t="s">
        <v>489</v>
      </c>
      <c r="I14" t="s">
        <v>490</v>
      </c>
      <c r="J14" t="s">
        <v>491</v>
      </c>
      <c r="K14" t="s">
        <v>492</v>
      </c>
      <c r="L14" t="s">
        <v>493</v>
      </c>
      <c r="M14" t="s">
        <v>494</v>
      </c>
      <c r="N14" s="7" t="s">
        <v>495</v>
      </c>
      <c r="O14" s="7" t="s">
        <v>496</v>
      </c>
      <c r="P14" s="7" t="s">
        <v>497</v>
      </c>
      <c r="Q14">
        <v>33</v>
      </c>
      <c r="R14">
        <v>0.00072767364</v>
      </c>
      <c r="S14" s="7" t="s">
        <v>498</v>
      </c>
      <c r="T14">
        <v>1</v>
      </c>
      <c r="U14" s="2">
        <v>98</v>
      </c>
      <c r="V14" s="3" t="str">
        <f>IF(U14&gt;=[1]评分标准!$B$5,[1]评分标准!$A$5,IF(U14&gt;=[1]评分标准!$B$6,[1]评分标准!$A$6,IF(U14&gt;=[1]评分标准!$B$7,[1]评分标准!$A$7,IF(U14&gt;=[1]评分标准!$B$8,[1]评分标准!$A$8,[1]评分标准!$A$9))))</f>
        <v>高度相似</v>
      </c>
      <c r="W14" s="7" t="s">
        <v>499</v>
      </c>
      <c r="X14" s="7" t="s">
        <v>500</v>
      </c>
      <c r="Y14">
        <v>1</v>
      </c>
      <c r="Z14" s="7" t="s">
        <v>501</v>
      </c>
      <c r="AA14" s="7" t="s">
        <v>502</v>
      </c>
      <c r="AB14">
        <v>1</v>
      </c>
      <c r="AC14" s="7" t="s">
        <v>503</v>
      </c>
      <c r="AD14" s="7" t="s">
        <v>504</v>
      </c>
      <c r="AE14">
        <v>1</v>
      </c>
      <c r="AF14" s="7" t="s">
        <v>505</v>
      </c>
      <c r="AG14" s="7" t="s">
        <v>506</v>
      </c>
      <c r="AH14">
        <v>1</v>
      </c>
      <c r="AI14" s="7" t="s">
        <v>507</v>
      </c>
      <c r="AJ14" s="7" t="s">
        <v>508</v>
      </c>
      <c r="AK14" s="7" t="s">
        <v>509</v>
      </c>
      <c r="AL14" s="7" t="s">
        <v>510</v>
      </c>
      <c r="AM14" s="7" t="s">
        <v>511</v>
      </c>
      <c r="AN14" s="7" t="s">
        <v>512</v>
      </c>
      <c r="AO14" s="7" t="s">
        <v>513</v>
      </c>
      <c r="AP14" s="7" t="s">
        <v>514</v>
      </c>
      <c r="AQ14" s="7" t="s">
        <v>515</v>
      </c>
      <c r="AR14" s="7" t="s">
        <v>516</v>
      </c>
      <c r="AS14" s="7" t="s">
        <v>517</v>
      </c>
      <c r="AT14" s="7" t="s">
        <v>518</v>
      </c>
    </row>
    <row r="15" ht="16.5" spans="1:46">
      <c r="A15" t="s">
        <v>519</v>
      </c>
      <c r="B15">
        <v>1</v>
      </c>
      <c r="C15" t="s">
        <v>520</v>
      </c>
      <c r="D15" t="s">
        <v>521</v>
      </c>
      <c r="E15" t="s">
        <v>522</v>
      </c>
      <c r="F15" t="s">
        <v>232</v>
      </c>
      <c r="G15" t="s">
        <v>51</v>
      </c>
      <c r="H15" t="s">
        <v>523</v>
      </c>
      <c r="I15" t="s">
        <v>524</v>
      </c>
      <c r="J15" t="s">
        <v>525</v>
      </c>
      <c r="K15" t="s">
        <v>526</v>
      </c>
      <c r="L15" t="s">
        <v>527</v>
      </c>
      <c r="M15" t="s">
        <v>528</v>
      </c>
      <c r="N15" s="7" t="s">
        <v>529</v>
      </c>
      <c r="O15" s="7" t="s">
        <v>530</v>
      </c>
      <c r="P15" s="7" t="s">
        <v>531</v>
      </c>
      <c r="Q15">
        <v>36</v>
      </c>
      <c r="R15">
        <v>0.0010020529</v>
      </c>
      <c r="S15" s="7" t="s">
        <v>532</v>
      </c>
      <c r="T15">
        <v>7</v>
      </c>
      <c r="U15" s="4">
        <v>98</v>
      </c>
      <c r="V15" s="5" t="str">
        <f>IF(U15&gt;=[1]评分标准!$B$5,[1]评分标准!$A$5,IF(U15&gt;=[1]评分标准!$B$6,[1]评分标准!$A$6,IF(U15&gt;=[1]评分标准!$B$7,[1]评分标准!$A$7,IF(U15&gt;=[1]评分标准!$B$8,[1]评分标准!$A$8,[1]评分标准!$A$9))))</f>
        <v>高度相似</v>
      </c>
      <c r="W15" s="7" t="s">
        <v>533</v>
      </c>
      <c r="X15" s="7" t="s">
        <v>534</v>
      </c>
      <c r="Y15">
        <v>1</v>
      </c>
      <c r="Z15" s="7" t="s">
        <v>535</v>
      </c>
      <c r="AA15" s="7" t="s">
        <v>536</v>
      </c>
      <c r="AB15">
        <v>1</v>
      </c>
      <c r="AC15" s="7" t="s">
        <v>537</v>
      </c>
      <c r="AD15" s="7" t="s">
        <v>538</v>
      </c>
      <c r="AE15">
        <v>1</v>
      </c>
      <c r="AF15" s="7" t="s">
        <v>539</v>
      </c>
      <c r="AG15" s="7" t="s">
        <v>540</v>
      </c>
      <c r="AH15">
        <v>1</v>
      </c>
      <c r="AI15" s="7" t="s">
        <v>541</v>
      </c>
      <c r="AJ15" s="7" t="s">
        <v>542</v>
      </c>
      <c r="AK15" s="7" t="s">
        <v>543</v>
      </c>
      <c r="AL15" s="7" t="s">
        <v>544</v>
      </c>
      <c r="AM15" s="7" t="s">
        <v>545</v>
      </c>
      <c r="AN15" s="7" t="s">
        <v>546</v>
      </c>
      <c r="AO15" s="7" t="s">
        <v>547</v>
      </c>
      <c r="AP15" s="7" t="s">
        <v>548</v>
      </c>
      <c r="AQ15" s="7" t="s">
        <v>549</v>
      </c>
      <c r="AR15" s="7" t="s">
        <v>550</v>
      </c>
      <c r="AS15" s="7" t="s">
        <v>551</v>
      </c>
      <c r="AT15" s="7" t="s">
        <v>552</v>
      </c>
    </row>
    <row r="16" ht="16.5" spans="1:46">
      <c r="A16" t="s">
        <v>553</v>
      </c>
      <c r="B16">
        <v>1</v>
      </c>
      <c r="C16" t="s">
        <v>554</v>
      </c>
      <c r="D16" t="s">
        <v>555</v>
      </c>
      <c r="E16" t="s">
        <v>556</v>
      </c>
      <c r="F16" t="s">
        <v>232</v>
      </c>
      <c r="G16" t="s">
        <v>369</v>
      </c>
      <c r="H16" t="s">
        <v>557</v>
      </c>
      <c r="I16" t="s">
        <v>558</v>
      </c>
      <c r="J16" t="s">
        <v>559</v>
      </c>
      <c r="K16" t="s">
        <v>560</v>
      </c>
      <c r="L16" t="s">
        <v>561</v>
      </c>
      <c r="M16" t="s">
        <v>131</v>
      </c>
      <c r="N16" s="7" t="s">
        <v>562</v>
      </c>
      <c r="O16" s="7" t="s">
        <v>563</v>
      </c>
      <c r="P16" s="7" t="s">
        <v>564</v>
      </c>
      <c r="Q16">
        <v>33</v>
      </c>
      <c r="R16">
        <v>0.0004195441</v>
      </c>
      <c r="S16" s="7" t="s">
        <v>565</v>
      </c>
      <c r="T16">
        <v>4</v>
      </c>
      <c r="U16" s="2">
        <v>55</v>
      </c>
      <c r="V16" s="3" t="str">
        <f>IF(U16&gt;=[1]评分标准!$B$5,[1]评分标准!$A$5,IF(U16&gt;=[1]评分标准!$B$6,[1]评分标准!$A$6,IF(U16&gt;=[1]评分标准!$B$7,[1]评分标准!$A$7,IF(U16&gt;=[1]评分标准!$B$8,[1]评分标准!$A$8,[1]评分标准!$A$9))))</f>
        <v>较低相似</v>
      </c>
      <c r="W16" s="7" t="s">
        <v>566</v>
      </c>
      <c r="X16" s="7" t="s">
        <v>566</v>
      </c>
      <c r="Y16" s="6">
        <v>-1e+100</v>
      </c>
      <c r="Z16" s="7" t="s">
        <v>566</v>
      </c>
      <c r="AA16" s="7" t="s">
        <v>566</v>
      </c>
      <c r="AB16" s="6">
        <v>-1e+100</v>
      </c>
      <c r="AC16" s="7" t="s">
        <v>566</v>
      </c>
      <c r="AD16" s="7" t="s">
        <v>566</v>
      </c>
      <c r="AE16" s="6">
        <v>-1e+100</v>
      </c>
      <c r="AF16" s="7" t="s">
        <v>567</v>
      </c>
      <c r="AG16" s="7" t="s">
        <v>568</v>
      </c>
      <c r="AH16" s="7" t="s">
        <v>569</v>
      </c>
      <c r="AI16" s="7" t="s">
        <v>570</v>
      </c>
      <c r="AJ16" s="7" t="s">
        <v>571</v>
      </c>
      <c r="AK16" s="7" t="s">
        <v>572</v>
      </c>
      <c r="AL16" s="7" t="s">
        <v>573</v>
      </c>
      <c r="AM16" s="7" t="s">
        <v>574</v>
      </c>
      <c r="AN16" s="7" t="s">
        <v>575</v>
      </c>
      <c r="AO16" s="7" t="s">
        <v>576</v>
      </c>
      <c r="AP16" s="7" t="s">
        <v>577</v>
      </c>
      <c r="AQ16" s="7" t="s">
        <v>578</v>
      </c>
      <c r="AR16" s="7" t="s">
        <v>579</v>
      </c>
      <c r="AS16" s="7" t="s">
        <v>580</v>
      </c>
      <c r="AT16" s="7" t="s">
        <v>581</v>
      </c>
    </row>
    <row r="17" ht="16.5" spans="1:46">
      <c r="A17" t="s">
        <v>582</v>
      </c>
      <c r="B17">
        <v>1</v>
      </c>
      <c r="C17" t="s">
        <v>583</v>
      </c>
      <c r="D17" t="s">
        <v>584</v>
      </c>
      <c r="E17" t="s">
        <v>585</v>
      </c>
      <c r="F17" t="s">
        <v>51</v>
      </c>
      <c r="G17" t="s">
        <v>586</v>
      </c>
      <c r="H17" t="s">
        <v>587</v>
      </c>
      <c r="I17" t="s">
        <v>92</v>
      </c>
      <c r="J17" t="s">
        <v>588</v>
      </c>
      <c r="K17" t="s">
        <v>589</v>
      </c>
      <c r="L17" t="s">
        <v>590</v>
      </c>
      <c r="M17" t="s">
        <v>269</v>
      </c>
      <c r="N17" s="7" t="s">
        <v>591</v>
      </c>
      <c r="O17" s="7" t="s">
        <v>592</v>
      </c>
      <c r="P17" s="7" t="s">
        <v>593</v>
      </c>
      <c r="Q17">
        <v>34</v>
      </c>
      <c r="R17">
        <v>0.0010109483</v>
      </c>
      <c r="S17" s="7" t="s">
        <v>594</v>
      </c>
      <c r="T17">
        <v>1</v>
      </c>
      <c r="U17" s="4">
        <v>98</v>
      </c>
      <c r="V17" s="5" t="str">
        <f>IF(U17&gt;=[1]评分标准!$B$5,[1]评分标准!$A$5,IF(U17&gt;=[1]评分标准!$B$6,[1]评分标准!$A$6,IF(U17&gt;=[1]评分标准!$B$7,[1]评分标准!$A$7,IF(U17&gt;=[1]评分标准!$B$8,[1]评分标准!$A$8,[1]评分标准!$A$9))))</f>
        <v>高度相似</v>
      </c>
      <c r="W17" s="7" t="s">
        <v>595</v>
      </c>
      <c r="X17" s="7" t="s">
        <v>596</v>
      </c>
      <c r="Y17">
        <v>1</v>
      </c>
      <c r="Z17" s="7" t="s">
        <v>597</v>
      </c>
      <c r="AA17" s="7" t="s">
        <v>598</v>
      </c>
      <c r="AB17">
        <v>1</v>
      </c>
      <c r="AC17" s="7" t="s">
        <v>599</v>
      </c>
      <c r="AD17" s="7" t="s">
        <v>600</v>
      </c>
      <c r="AE17">
        <v>1</v>
      </c>
      <c r="AF17" s="7" t="s">
        <v>601</v>
      </c>
      <c r="AG17" s="7" t="s">
        <v>602</v>
      </c>
      <c r="AH17">
        <v>1</v>
      </c>
      <c r="AI17" s="7" t="s">
        <v>603</v>
      </c>
      <c r="AJ17" s="7" t="s">
        <v>604</v>
      </c>
      <c r="AK17" s="7" t="s">
        <v>605</v>
      </c>
      <c r="AL17" s="7" t="s">
        <v>606</v>
      </c>
      <c r="AM17" s="7" t="s">
        <v>607</v>
      </c>
      <c r="AN17" s="7" t="s">
        <v>608</v>
      </c>
      <c r="AO17" s="7" t="s">
        <v>609</v>
      </c>
      <c r="AP17" s="7" t="s">
        <v>610</v>
      </c>
      <c r="AQ17" s="7" t="s">
        <v>611</v>
      </c>
      <c r="AR17" s="7" t="s">
        <v>612</v>
      </c>
      <c r="AS17" s="7" t="s">
        <v>613</v>
      </c>
      <c r="AT17" s="7" t="s">
        <v>614</v>
      </c>
    </row>
    <row r="18" ht="16.5" spans="1:46">
      <c r="A18" t="s">
        <v>615</v>
      </c>
      <c r="B18">
        <v>1</v>
      </c>
      <c r="C18" t="s">
        <v>616</v>
      </c>
      <c r="D18" t="s">
        <v>617</v>
      </c>
      <c r="E18" t="s">
        <v>618</v>
      </c>
      <c r="F18" t="s">
        <v>369</v>
      </c>
      <c r="G18" t="s">
        <v>619</v>
      </c>
      <c r="H18" t="s">
        <v>620</v>
      </c>
      <c r="I18" t="s">
        <v>128</v>
      </c>
      <c r="J18" t="s">
        <v>621</v>
      </c>
      <c r="K18" t="s">
        <v>622</v>
      </c>
      <c r="L18" t="s">
        <v>623</v>
      </c>
      <c r="M18" t="s">
        <v>376</v>
      </c>
      <c r="N18" s="7" t="s">
        <v>624</v>
      </c>
      <c r="O18" s="7" t="s">
        <v>625</v>
      </c>
      <c r="P18" s="7" t="s">
        <v>626</v>
      </c>
      <c r="Q18">
        <v>23</v>
      </c>
      <c r="R18">
        <v>0.0006220366</v>
      </c>
      <c r="S18" s="7" t="s">
        <v>627</v>
      </c>
      <c r="T18">
        <v>5</v>
      </c>
      <c r="U18" s="2">
        <v>98</v>
      </c>
      <c r="V18" s="3" t="str">
        <f>IF(U18&gt;=[1]评分标准!$B$5,[1]评分标准!$A$5,IF(U18&gt;=[1]评分标准!$B$6,[1]评分标准!$A$6,IF(U18&gt;=[1]评分标准!$B$7,[1]评分标准!$A$7,IF(U18&gt;=[1]评分标准!$B$8,[1]评分标准!$A$8,[1]评分标准!$A$9))))</f>
        <v>高度相似</v>
      </c>
      <c r="W18" s="7" t="s">
        <v>628</v>
      </c>
      <c r="X18" s="7" t="s">
        <v>629</v>
      </c>
      <c r="Y18">
        <v>1</v>
      </c>
      <c r="Z18" s="7" t="s">
        <v>630</v>
      </c>
      <c r="AA18" s="7" t="s">
        <v>631</v>
      </c>
      <c r="AB18">
        <v>1</v>
      </c>
      <c r="AC18" s="7" t="s">
        <v>632</v>
      </c>
      <c r="AD18" s="7" t="s">
        <v>633</v>
      </c>
      <c r="AE18">
        <v>1</v>
      </c>
      <c r="AF18" s="7" t="s">
        <v>634</v>
      </c>
      <c r="AG18" s="7" t="s">
        <v>635</v>
      </c>
      <c r="AH18">
        <v>1</v>
      </c>
      <c r="AI18" s="7" t="s">
        <v>636</v>
      </c>
      <c r="AJ18" s="7" t="s">
        <v>637</v>
      </c>
      <c r="AK18" s="7" t="s">
        <v>638</v>
      </c>
      <c r="AL18" s="7" t="s">
        <v>639</v>
      </c>
      <c r="AM18" s="7" t="s">
        <v>640</v>
      </c>
      <c r="AN18" s="7" t="s">
        <v>641</v>
      </c>
      <c r="AO18" s="7" t="s">
        <v>642</v>
      </c>
      <c r="AP18" s="7" t="s">
        <v>643</v>
      </c>
      <c r="AQ18" s="7" t="s">
        <v>644</v>
      </c>
      <c r="AR18" s="7" t="s">
        <v>645</v>
      </c>
      <c r="AS18" s="7" t="s">
        <v>646</v>
      </c>
      <c r="AT18" s="7" t="s">
        <v>647</v>
      </c>
    </row>
    <row r="19" ht="16.5" spans="1:46">
      <c r="A19" t="s">
        <v>648</v>
      </c>
      <c r="B19">
        <v>1</v>
      </c>
      <c r="C19" t="s">
        <v>649</v>
      </c>
      <c r="D19" t="s">
        <v>650</v>
      </c>
      <c r="E19" t="s">
        <v>651</v>
      </c>
      <c r="F19" t="s">
        <v>652</v>
      </c>
      <c r="G19" t="s">
        <v>51</v>
      </c>
      <c r="H19" t="s">
        <v>653</v>
      </c>
      <c r="I19" t="s">
        <v>654</v>
      </c>
      <c r="J19" t="s">
        <v>655</v>
      </c>
      <c r="K19" t="s">
        <v>656</v>
      </c>
      <c r="L19" t="s">
        <v>657</v>
      </c>
      <c r="M19" t="s">
        <v>494</v>
      </c>
      <c r="N19" s="7" t="s">
        <v>658</v>
      </c>
      <c r="O19" s="7" t="s">
        <v>659</v>
      </c>
      <c r="P19" s="7" t="s">
        <v>660</v>
      </c>
      <c r="Q19">
        <v>39</v>
      </c>
      <c r="R19">
        <v>0.0010004721</v>
      </c>
      <c r="S19" s="7" t="s">
        <v>661</v>
      </c>
      <c r="T19">
        <v>2</v>
      </c>
      <c r="U19" s="4">
        <v>20</v>
      </c>
      <c r="V19" s="5" t="str">
        <f>IF(U19&gt;=[1]评分标准!$B$5,[1]评分标准!$A$5,IF(U19&gt;=[1]评分标准!$B$6,[1]评分标准!$A$6,IF(U19&gt;=[1]评分标准!$B$7,[1]评分标准!$A$7,IF(U19&gt;=[1]评分标准!$B$8,[1]评分标准!$A$8,[1]评分标准!$A$9))))</f>
        <v>不相似</v>
      </c>
      <c r="W19" s="7" t="s">
        <v>662</v>
      </c>
      <c r="X19" s="7" t="s">
        <v>663</v>
      </c>
      <c r="Y19" s="7" t="s">
        <v>664</v>
      </c>
      <c r="Z19" s="7" t="s">
        <v>665</v>
      </c>
      <c r="AA19" s="7" t="s">
        <v>666</v>
      </c>
      <c r="AB19" s="7" t="s">
        <v>667</v>
      </c>
      <c r="AC19" s="7" t="s">
        <v>668</v>
      </c>
      <c r="AD19" s="7" t="s">
        <v>669</v>
      </c>
      <c r="AE19" s="7" t="s">
        <v>670</v>
      </c>
      <c r="AF19" s="7" t="s">
        <v>671</v>
      </c>
      <c r="AG19" s="7" t="s">
        <v>672</v>
      </c>
      <c r="AH19" s="7" t="s">
        <v>673</v>
      </c>
      <c r="AI19" s="7" t="s">
        <v>674</v>
      </c>
      <c r="AJ19" s="7" t="s">
        <v>675</v>
      </c>
      <c r="AK19" s="7" t="s">
        <v>676</v>
      </c>
      <c r="AL19" s="7" t="s">
        <v>677</v>
      </c>
      <c r="AM19" s="7" t="s">
        <v>678</v>
      </c>
      <c r="AN19" s="7" t="s">
        <v>679</v>
      </c>
      <c r="AO19" s="7" t="s">
        <v>680</v>
      </c>
      <c r="AP19" s="7" t="s">
        <v>681</v>
      </c>
      <c r="AQ19" s="7" t="s">
        <v>682</v>
      </c>
      <c r="AR19" s="7" t="s">
        <v>683</v>
      </c>
      <c r="AS19" s="7" t="s">
        <v>684</v>
      </c>
      <c r="AT19" s="7" t="s">
        <v>685</v>
      </c>
    </row>
    <row r="20" ht="16.5" spans="1:46">
      <c r="A20" t="s">
        <v>686</v>
      </c>
      <c r="B20">
        <v>1</v>
      </c>
      <c r="C20" t="s">
        <v>687</v>
      </c>
      <c r="D20" t="s">
        <v>688</v>
      </c>
      <c r="E20" t="s">
        <v>689</v>
      </c>
      <c r="F20" t="s">
        <v>200</v>
      </c>
      <c r="G20" t="s">
        <v>690</v>
      </c>
      <c r="H20" t="s">
        <v>691</v>
      </c>
      <c r="I20" t="s">
        <v>692</v>
      </c>
      <c r="J20" t="s">
        <v>693</v>
      </c>
      <c r="K20" t="s">
        <v>694</v>
      </c>
      <c r="L20" t="s">
        <v>695</v>
      </c>
      <c r="M20" t="s">
        <v>528</v>
      </c>
      <c r="N20" s="7" t="s">
        <v>696</v>
      </c>
      <c r="O20" s="7" t="s">
        <v>697</v>
      </c>
      <c r="P20" s="7" t="s">
        <v>698</v>
      </c>
      <c r="Q20">
        <v>39</v>
      </c>
      <c r="R20">
        <v>0.009653192</v>
      </c>
      <c r="S20" s="7" t="s">
        <v>699</v>
      </c>
      <c r="T20">
        <v>6</v>
      </c>
      <c r="U20" s="2">
        <v>45</v>
      </c>
      <c r="V20" s="3" t="str">
        <f>IF(U20&gt;=[1]评分标准!$B$5,[1]评分标准!$A$5,IF(U20&gt;=[1]评分标准!$B$6,[1]评分标准!$A$6,IF(U20&gt;=[1]评分标准!$B$7,[1]评分标准!$A$7,IF(U20&gt;=[1]评分标准!$B$8,[1]评分标准!$A$8,[1]评分标准!$A$9))))</f>
        <v>较低相似</v>
      </c>
      <c r="W20" s="7" t="s">
        <v>700</v>
      </c>
      <c r="X20" s="7" t="s">
        <v>701</v>
      </c>
      <c r="Y20" s="7" t="s">
        <v>702</v>
      </c>
      <c r="Z20" s="7" t="s">
        <v>703</v>
      </c>
      <c r="AA20" s="7" t="s">
        <v>704</v>
      </c>
      <c r="AB20" s="7" t="s">
        <v>705</v>
      </c>
      <c r="AC20" s="7" t="s">
        <v>706</v>
      </c>
      <c r="AD20" s="7" t="s">
        <v>707</v>
      </c>
      <c r="AE20" s="7" t="s">
        <v>708</v>
      </c>
      <c r="AF20" s="7" t="s">
        <v>709</v>
      </c>
      <c r="AG20" s="7" t="s">
        <v>710</v>
      </c>
      <c r="AH20" s="7" t="s">
        <v>711</v>
      </c>
      <c r="AI20" s="7" t="s">
        <v>712</v>
      </c>
      <c r="AJ20" s="7" t="s">
        <v>713</v>
      </c>
      <c r="AK20" s="7" t="s">
        <v>714</v>
      </c>
      <c r="AL20" s="7" t="s">
        <v>715</v>
      </c>
      <c r="AM20" s="7" t="s">
        <v>716</v>
      </c>
      <c r="AN20" s="7" t="s">
        <v>717</v>
      </c>
      <c r="AO20" s="7" t="s">
        <v>718</v>
      </c>
      <c r="AP20" s="7" t="s">
        <v>719</v>
      </c>
      <c r="AQ20" s="7" t="s">
        <v>720</v>
      </c>
      <c r="AR20" s="7" t="s">
        <v>721</v>
      </c>
      <c r="AS20" s="7" t="s">
        <v>722</v>
      </c>
      <c r="AT20" s="7" t="s">
        <v>723</v>
      </c>
    </row>
    <row r="21" ht="16.5" spans="1:46">
      <c r="A21" t="s">
        <v>724</v>
      </c>
      <c r="B21">
        <v>1</v>
      </c>
      <c r="C21" t="s">
        <v>725</v>
      </c>
      <c r="D21" t="s">
        <v>726</v>
      </c>
      <c r="E21" t="s">
        <v>727</v>
      </c>
      <c r="F21" t="s">
        <v>50</v>
      </c>
      <c r="G21" t="s">
        <v>728</v>
      </c>
      <c r="H21" t="s">
        <v>166</v>
      </c>
      <c r="I21" t="s">
        <v>729</v>
      </c>
      <c r="J21" t="s">
        <v>730</v>
      </c>
      <c r="K21" t="s">
        <v>731</v>
      </c>
      <c r="L21" t="s">
        <v>732</v>
      </c>
      <c r="M21" t="s">
        <v>269</v>
      </c>
      <c r="N21" s="7" t="s">
        <v>733</v>
      </c>
      <c r="O21" s="7" t="s">
        <v>734</v>
      </c>
      <c r="P21" s="7" t="s">
        <v>735</v>
      </c>
      <c r="Q21">
        <v>37</v>
      </c>
      <c r="R21">
        <v>0.00023394293</v>
      </c>
      <c r="S21" s="7" t="s">
        <v>736</v>
      </c>
      <c r="T21">
        <v>0</v>
      </c>
      <c r="U21" s="4">
        <v>35</v>
      </c>
      <c r="V21" s="5" t="str">
        <f>IF(U21&gt;=[1]评分标准!$B$5,[1]评分标准!$A$5,IF(U21&gt;=[1]评分标准!$B$6,[1]评分标准!$A$6,IF(U21&gt;=[1]评分标准!$B$7,[1]评分标准!$A$7,IF(U21&gt;=[1]评分标准!$B$8,[1]评分标准!$A$8,[1]评分标准!$A$9))))</f>
        <v>不相似</v>
      </c>
      <c r="W21" s="7" t="s">
        <v>566</v>
      </c>
      <c r="X21" s="7" t="s">
        <v>566</v>
      </c>
      <c r="Y21" s="6">
        <v>-1e+100</v>
      </c>
      <c r="Z21" s="7" t="s">
        <v>566</v>
      </c>
      <c r="AA21" s="7" t="s">
        <v>566</v>
      </c>
      <c r="AB21" s="6">
        <v>-1e+100</v>
      </c>
      <c r="AC21" s="7" t="s">
        <v>566</v>
      </c>
      <c r="AD21" s="7" t="s">
        <v>566</v>
      </c>
      <c r="AE21" s="6">
        <v>-1e+100</v>
      </c>
      <c r="AF21" s="7" t="s">
        <v>566</v>
      </c>
      <c r="AG21" s="7" t="s">
        <v>566</v>
      </c>
      <c r="AH21" s="6">
        <v>-1e+100</v>
      </c>
      <c r="AI21" s="7" t="s">
        <v>566</v>
      </c>
      <c r="AJ21" s="7" t="s">
        <v>566</v>
      </c>
      <c r="AK21" s="6">
        <v>-1e+100</v>
      </c>
      <c r="AL21" s="7" t="s">
        <v>566</v>
      </c>
      <c r="AM21" s="7" t="s">
        <v>566</v>
      </c>
      <c r="AN21" s="6">
        <v>-1e+100</v>
      </c>
      <c r="AO21" s="7" t="s">
        <v>566</v>
      </c>
      <c r="AP21" s="7" t="s">
        <v>566</v>
      </c>
      <c r="AQ21" s="6">
        <v>-1e+100</v>
      </c>
      <c r="AR21" s="7" t="s">
        <v>566</v>
      </c>
      <c r="AS21" s="7" t="s">
        <v>566</v>
      </c>
      <c r="AT21" s="6">
        <v>-1e+100</v>
      </c>
    </row>
    <row r="22" ht="16.5" spans="1:46">
      <c r="A22" t="s">
        <v>737</v>
      </c>
      <c r="B22">
        <v>1</v>
      </c>
      <c r="C22" t="s">
        <v>738</v>
      </c>
      <c r="D22" t="s">
        <v>739</v>
      </c>
      <c r="E22" t="s">
        <v>740</v>
      </c>
      <c r="F22" t="s">
        <v>125</v>
      </c>
      <c r="G22" t="s">
        <v>741</v>
      </c>
      <c r="H22" t="s">
        <v>742</v>
      </c>
      <c r="I22" t="s">
        <v>53</v>
      </c>
      <c r="J22" t="s">
        <v>743</v>
      </c>
      <c r="K22" t="s">
        <v>744</v>
      </c>
      <c r="L22" t="s">
        <v>745</v>
      </c>
      <c r="M22" t="s">
        <v>376</v>
      </c>
      <c r="N22" s="7" t="s">
        <v>746</v>
      </c>
      <c r="O22" s="7" t="s">
        <v>747</v>
      </c>
      <c r="P22" s="7" t="s">
        <v>748</v>
      </c>
      <c r="Q22">
        <v>32</v>
      </c>
      <c r="R22">
        <v>0.0009820614</v>
      </c>
      <c r="S22" s="7" t="s">
        <v>749</v>
      </c>
      <c r="T22">
        <v>5</v>
      </c>
      <c r="U22" s="2">
        <v>98</v>
      </c>
      <c r="V22" s="3" t="str">
        <f>IF(U22&gt;=[1]评分标准!$B$5,[1]评分标准!$A$5,IF(U22&gt;=[1]评分标准!$B$6,[1]评分标准!$A$6,IF(U22&gt;=[1]评分标准!$B$7,[1]评分标准!$A$7,IF(U22&gt;=[1]评分标准!$B$8,[1]评分标准!$A$8,[1]评分标准!$A$9))))</f>
        <v>高度相似</v>
      </c>
      <c r="W22" s="7" t="s">
        <v>750</v>
      </c>
      <c r="X22" s="7" t="s">
        <v>751</v>
      </c>
      <c r="Y22">
        <v>1</v>
      </c>
      <c r="Z22" s="7" t="s">
        <v>752</v>
      </c>
      <c r="AA22" s="7" t="s">
        <v>753</v>
      </c>
      <c r="AB22">
        <v>1</v>
      </c>
      <c r="AC22" s="7" t="s">
        <v>754</v>
      </c>
      <c r="AD22" s="7" t="s">
        <v>755</v>
      </c>
      <c r="AE22">
        <v>1</v>
      </c>
      <c r="AF22" s="7" t="s">
        <v>756</v>
      </c>
      <c r="AG22" s="7" t="s">
        <v>757</v>
      </c>
      <c r="AH22">
        <v>1</v>
      </c>
      <c r="AI22" s="7" t="s">
        <v>758</v>
      </c>
      <c r="AJ22" s="7" t="s">
        <v>759</v>
      </c>
      <c r="AK22" s="7" t="s">
        <v>760</v>
      </c>
      <c r="AL22" s="7" t="s">
        <v>761</v>
      </c>
      <c r="AM22" s="7" t="s">
        <v>762</v>
      </c>
      <c r="AN22" s="7" t="s">
        <v>763</v>
      </c>
      <c r="AO22" s="7" t="s">
        <v>764</v>
      </c>
      <c r="AP22" s="7" t="s">
        <v>765</v>
      </c>
      <c r="AQ22" s="7" t="s">
        <v>766</v>
      </c>
      <c r="AR22" s="7" t="s">
        <v>767</v>
      </c>
      <c r="AS22" s="7" t="s">
        <v>768</v>
      </c>
      <c r="AT22" s="7" t="s">
        <v>769</v>
      </c>
    </row>
    <row r="23" ht="16.5" spans="1:46">
      <c r="A23" t="s">
        <v>770</v>
      </c>
      <c r="B23">
        <v>1</v>
      </c>
      <c r="C23" t="s">
        <v>771</v>
      </c>
      <c r="D23" t="s">
        <v>772</v>
      </c>
      <c r="E23" t="s">
        <v>773</v>
      </c>
      <c r="F23" t="s">
        <v>50</v>
      </c>
      <c r="G23" t="s">
        <v>774</v>
      </c>
      <c r="H23" t="s">
        <v>775</v>
      </c>
      <c r="I23" t="s">
        <v>53</v>
      </c>
      <c r="J23" t="s">
        <v>776</v>
      </c>
      <c r="K23" t="s">
        <v>777</v>
      </c>
      <c r="L23" t="s">
        <v>778</v>
      </c>
      <c r="M23" t="s">
        <v>779</v>
      </c>
      <c r="N23" s="7" t="s">
        <v>780</v>
      </c>
      <c r="O23" s="7" t="s">
        <v>781</v>
      </c>
      <c r="P23">
        <v>-511.307395800279</v>
      </c>
      <c r="Q23">
        <v>11</v>
      </c>
      <c r="R23">
        <v>0.0002484048</v>
      </c>
      <c r="S23" s="7" t="s">
        <v>782</v>
      </c>
      <c r="T23">
        <v>3</v>
      </c>
      <c r="U23" s="4">
        <v>25</v>
      </c>
      <c r="V23" s="5" t="str">
        <f>IF(U23&gt;=[1]评分标准!$B$5,[1]评分标准!$A$5,IF(U23&gt;=[1]评分标准!$B$6,[1]评分标准!$A$6,IF(U23&gt;=[1]评分标准!$B$7,[1]评分标准!$A$7,IF(U23&gt;=[1]评分标准!$B$8,[1]评分标准!$A$8,[1]评分标准!$A$9))))</f>
        <v>不相似</v>
      </c>
      <c r="W23" s="7" t="s">
        <v>783</v>
      </c>
      <c r="X23" s="7" t="s">
        <v>784</v>
      </c>
      <c r="Y23">
        <v>-24.013431063015</v>
      </c>
      <c r="Z23" s="7" t="s">
        <v>785</v>
      </c>
      <c r="AA23" s="7" t="s">
        <v>786</v>
      </c>
      <c r="AB23">
        <v>-41.2859137077898</v>
      </c>
      <c r="AC23" s="7" t="s">
        <v>787</v>
      </c>
      <c r="AD23" s="7" t="s">
        <v>788</v>
      </c>
      <c r="AE23">
        <v>-75.0655556428257</v>
      </c>
      <c r="AF23" s="7" t="s">
        <v>789</v>
      </c>
      <c r="AG23" s="7" t="s">
        <v>790</v>
      </c>
      <c r="AH23" s="7" t="s">
        <v>791</v>
      </c>
      <c r="AI23" s="7" t="s">
        <v>792</v>
      </c>
      <c r="AJ23" s="7" t="s">
        <v>793</v>
      </c>
      <c r="AK23">
        <v>-16.0588676257679</v>
      </c>
      <c r="AL23" s="7" t="s">
        <v>794</v>
      </c>
      <c r="AM23" s="7" t="s">
        <v>795</v>
      </c>
      <c r="AN23">
        <v>-15.736100423579</v>
      </c>
      <c r="AO23" s="7" t="s">
        <v>796</v>
      </c>
      <c r="AP23" s="7" t="s">
        <v>797</v>
      </c>
      <c r="AQ23" s="7" t="s">
        <v>798</v>
      </c>
      <c r="AR23" s="7" t="s">
        <v>799</v>
      </c>
      <c r="AS23" s="7" t="s">
        <v>800</v>
      </c>
      <c r="AT23">
        <v>-12.2014787243999</v>
      </c>
    </row>
    <row r="24" ht="16.5" spans="1:46">
      <c r="A24" t="s">
        <v>801</v>
      </c>
      <c r="B24">
        <v>1</v>
      </c>
      <c r="C24" t="s">
        <v>802</v>
      </c>
      <c r="D24" t="s">
        <v>803</v>
      </c>
      <c r="E24" t="s">
        <v>804</v>
      </c>
      <c r="F24" t="s">
        <v>50</v>
      </c>
      <c r="G24" t="s">
        <v>805</v>
      </c>
      <c r="H24" t="s">
        <v>806</v>
      </c>
      <c r="I24" t="s">
        <v>53</v>
      </c>
      <c r="J24" t="s">
        <v>807</v>
      </c>
      <c r="K24" t="s">
        <v>808</v>
      </c>
      <c r="L24" t="s">
        <v>809</v>
      </c>
      <c r="M24" t="s">
        <v>269</v>
      </c>
      <c r="N24" s="7" t="s">
        <v>810</v>
      </c>
      <c r="O24" s="7" t="s">
        <v>811</v>
      </c>
      <c r="P24" s="7" t="s">
        <v>812</v>
      </c>
      <c r="Q24">
        <v>26</v>
      </c>
      <c r="R24">
        <v>0.0002467077</v>
      </c>
      <c r="S24" s="7" t="s">
        <v>813</v>
      </c>
      <c r="T24">
        <v>2</v>
      </c>
      <c r="U24" s="2">
        <v>20</v>
      </c>
      <c r="V24" s="3" t="str">
        <f>IF(U24&gt;=[1]评分标准!$B$5,[1]评分标准!$A$5,IF(U24&gt;=[1]评分标准!$B$6,[1]评分标准!$A$6,IF(U24&gt;=[1]评分标准!$B$7,[1]评分标准!$A$7,IF(U24&gt;=[1]评分标准!$B$8,[1]评分标准!$A$8,[1]评分标准!$A$9))))</f>
        <v>不相似</v>
      </c>
      <c r="W24" s="7" t="s">
        <v>814</v>
      </c>
      <c r="X24" s="7" t="s">
        <v>815</v>
      </c>
      <c r="Y24" s="7" t="s">
        <v>816</v>
      </c>
      <c r="Z24" s="7" t="s">
        <v>817</v>
      </c>
      <c r="AA24" s="7" t="s">
        <v>818</v>
      </c>
      <c r="AB24" s="7" t="s">
        <v>819</v>
      </c>
      <c r="AC24" s="7" t="s">
        <v>820</v>
      </c>
      <c r="AD24" s="7" t="s">
        <v>821</v>
      </c>
      <c r="AE24" s="7" t="s">
        <v>822</v>
      </c>
      <c r="AF24" s="7" t="s">
        <v>823</v>
      </c>
      <c r="AG24" s="7" t="s">
        <v>824</v>
      </c>
      <c r="AH24" s="7" t="s">
        <v>825</v>
      </c>
      <c r="AI24" s="7" t="s">
        <v>826</v>
      </c>
      <c r="AJ24" s="7" t="s">
        <v>827</v>
      </c>
      <c r="AK24" s="7" t="s">
        <v>828</v>
      </c>
      <c r="AL24" s="7" t="s">
        <v>829</v>
      </c>
      <c r="AM24" s="7" t="s">
        <v>830</v>
      </c>
      <c r="AN24" s="7" t="s">
        <v>831</v>
      </c>
      <c r="AO24" s="7" t="s">
        <v>832</v>
      </c>
      <c r="AP24" s="7" t="s">
        <v>833</v>
      </c>
      <c r="AQ24" s="7" t="s">
        <v>834</v>
      </c>
      <c r="AR24" s="7" t="s">
        <v>835</v>
      </c>
      <c r="AS24" s="7" t="s">
        <v>836</v>
      </c>
      <c r="AT24" s="7" t="s">
        <v>837</v>
      </c>
    </row>
    <row r="25" ht="16.5" spans="1:46">
      <c r="A25" t="s">
        <v>838</v>
      </c>
      <c r="B25">
        <v>1</v>
      </c>
      <c r="C25" t="s">
        <v>839</v>
      </c>
      <c r="D25" t="s">
        <v>840</v>
      </c>
      <c r="E25" t="e">
        <f>-E_n/(p_d*COS(theta))</f>
        <v>#NAME?</v>
      </c>
      <c r="F25" t="s">
        <v>200</v>
      </c>
      <c r="G25" t="s">
        <v>233</v>
      </c>
      <c r="H25" t="s">
        <v>841</v>
      </c>
      <c r="I25" t="s">
        <v>128</v>
      </c>
      <c r="J25" t="e">
        <f>-E_n/(p_d*COS(theta))</f>
        <v>#NAME?</v>
      </c>
      <c r="K25" t="s">
        <v>842</v>
      </c>
      <c r="L25" t="s">
        <v>843</v>
      </c>
      <c r="M25" t="s">
        <v>57</v>
      </c>
      <c r="N25" s="7" t="s">
        <v>844</v>
      </c>
      <c r="O25" s="7" t="s">
        <v>845</v>
      </c>
      <c r="P25" s="7" t="s">
        <v>846</v>
      </c>
      <c r="Q25">
        <v>27</v>
      </c>
      <c r="R25">
        <v>0.0010192763</v>
      </c>
      <c r="S25" s="7" t="s">
        <v>847</v>
      </c>
      <c r="T25">
        <v>7</v>
      </c>
      <c r="U25" s="4">
        <v>98</v>
      </c>
      <c r="V25" s="5" t="str">
        <f>IF(U25&gt;=[1]评分标准!$B$5,[1]评分标准!$A$5,IF(U25&gt;=[1]评分标准!$B$6,[1]评分标准!$A$6,IF(U25&gt;=[1]评分标准!$B$7,[1]评分标准!$A$7,IF(U25&gt;=[1]评分标准!$B$8,[1]评分标准!$A$8,[1]评分标准!$A$9))))</f>
        <v>高度相似</v>
      </c>
      <c r="W25" s="7" t="s">
        <v>848</v>
      </c>
      <c r="X25" s="7" t="s">
        <v>849</v>
      </c>
      <c r="Y25" s="7" t="s">
        <v>850</v>
      </c>
      <c r="Z25" s="7" t="s">
        <v>851</v>
      </c>
      <c r="AA25" s="7" t="s">
        <v>852</v>
      </c>
      <c r="AB25" s="7" t="s">
        <v>853</v>
      </c>
      <c r="AC25" s="7" t="s">
        <v>854</v>
      </c>
      <c r="AD25" s="7" t="s">
        <v>855</v>
      </c>
      <c r="AE25" s="7" t="s">
        <v>856</v>
      </c>
      <c r="AF25" s="7" t="s">
        <v>857</v>
      </c>
      <c r="AG25" s="7" t="s">
        <v>858</v>
      </c>
      <c r="AH25" s="7" t="s">
        <v>859</v>
      </c>
      <c r="AI25" s="7" t="s">
        <v>860</v>
      </c>
      <c r="AJ25" s="7" t="s">
        <v>861</v>
      </c>
      <c r="AK25" s="7" t="s">
        <v>862</v>
      </c>
      <c r="AL25" s="7" t="s">
        <v>863</v>
      </c>
      <c r="AM25" s="7" t="s">
        <v>864</v>
      </c>
      <c r="AN25" s="7" t="s">
        <v>865</v>
      </c>
      <c r="AO25" s="7" t="s">
        <v>866</v>
      </c>
      <c r="AP25" s="7" t="s">
        <v>867</v>
      </c>
      <c r="AQ25" s="7" t="s">
        <v>868</v>
      </c>
      <c r="AR25" s="7" t="s">
        <v>869</v>
      </c>
      <c r="AS25" s="7" t="s">
        <v>870</v>
      </c>
      <c r="AT25" s="7" t="s">
        <v>871</v>
      </c>
    </row>
    <row r="26" ht="16.5" spans="1:46">
      <c r="A26" t="s">
        <v>872</v>
      </c>
      <c r="B26">
        <v>1</v>
      </c>
      <c r="C26" t="s">
        <v>873</v>
      </c>
      <c r="D26" t="s">
        <v>874</v>
      </c>
      <c r="E26" t="e">
        <f>-LOG((_xleta.T-Ta)/(T0-Ta))/k</f>
        <v>#VALUE!</v>
      </c>
      <c r="F26" t="s">
        <v>875</v>
      </c>
      <c r="G26" t="s">
        <v>652</v>
      </c>
      <c r="H26" t="s">
        <v>876</v>
      </c>
      <c r="I26" t="s">
        <v>128</v>
      </c>
      <c r="J26" t="e">
        <f>-LOG((_xleta.T-Ta)/(T0-Ta))/k</f>
        <v>#VALUE!</v>
      </c>
      <c r="K26" t="s">
        <v>877</v>
      </c>
      <c r="L26" t="s">
        <v>878</v>
      </c>
      <c r="M26" t="s">
        <v>494</v>
      </c>
      <c r="N26" s="7" t="s">
        <v>879</v>
      </c>
      <c r="O26" s="7" t="s">
        <v>880</v>
      </c>
      <c r="P26" s="7" t="s">
        <v>881</v>
      </c>
      <c r="Q26">
        <v>38</v>
      </c>
      <c r="R26">
        <v>0.002545595</v>
      </c>
      <c r="S26" s="7" t="s">
        <v>882</v>
      </c>
      <c r="T26">
        <v>5</v>
      </c>
      <c r="U26" s="2">
        <v>20</v>
      </c>
      <c r="V26" s="3" t="str">
        <f>IF(U26&gt;=[1]评分标准!$B$5,[1]评分标准!$A$5,IF(U26&gt;=[1]评分标准!$B$6,[1]评分标准!$A$6,IF(U26&gt;=[1]评分标准!$B$7,[1]评分标准!$A$7,IF(U26&gt;=[1]评分标准!$B$8,[1]评分标准!$A$8,[1]评分标准!$A$9))))</f>
        <v>不相似</v>
      </c>
      <c r="W26" s="7" t="s">
        <v>883</v>
      </c>
      <c r="X26" s="7" t="s">
        <v>884</v>
      </c>
      <c r="Y26" s="7" t="s">
        <v>885</v>
      </c>
      <c r="Z26" s="7" t="s">
        <v>886</v>
      </c>
      <c r="AA26" s="7" t="s">
        <v>887</v>
      </c>
      <c r="AB26" s="7" t="s">
        <v>888</v>
      </c>
      <c r="AC26" s="7" t="s">
        <v>889</v>
      </c>
      <c r="AD26" s="7" t="s">
        <v>890</v>
      </c>
      <c r="AE26" s="7" t="s">
        <v>891</v>
      </c>
      <c r="AF26" s="7" t="s">
        <v>892</v>
      </c>
      <c r="AG26" s="7" t="s">
        <v>893</v>
      </c>
      <c r="AH26" s="7" t="s">
        <v>894</v>
      </c>
      <c r="AI26" s="7" t="s">
        <v>895</v>
      </c>
      <c r="AJ26" s="7" t="s">
        <v>896</v>
      </c>
      <c r="AK26" s="7" t="s">
        <v>897</v>
      </c>
      <c r="AL26" s="7" t="s">
        <v>898</v>
      </c>
      <c r="AM26" s="7" t="s">
        <v>899</v>
      </c>
      <c r="AN26" s="7" t="s">
        <v>900</v>
      </c>
      <c r="AO26" s="7" t="s">
        <v>901</v>
      </c>
      <c r="AP26" s="7" t="s">
        <v>902</v>
      </c>
      <c r="AQ26" s="7" t="s">
        <v>903</v>
      </c>
      <c r="AR26" s="7" t="s">
        <v>904</v>
      </c>
      <c r="AS26" s="7" t="s">
        <v>905</v>
      </c>
      <c r="AT26" s="7" t="s">
        <v>906</v>
      </c>
    </row>
    <row r="27" ht="16.5" spans="1:46">
      <c r="A27" t="s">
        <v>907</v>
      </c>
      <c r="B27">
        <v>1</v>
      </c>
      <c r="C27" t="s">
        <v>908</v>
      </c>
      <c r="D27" t="s">
        <v>909</v>
      </c>
      <c r="E27" t="s">
        <v>910</v>
      </c>
      <c r="F27" t="s">
        <v>911</v>
      </c>
      <c r="G27" t="s">
        <v>232</v>
      </c>
      <c r="H27" t="s">
        <v>912</v>
      </c>
      <c r="I27" t="s">
        <v>913</v>
      </c>
      <c r="J27" t="s">
        <v>914</v>
      </c>
      <c r="K27" t="s">
        <v>915</v>
      </c>
      <c r="L27" t="s">
        <v>916</v>
      </c>
      <c r="M27" t="s">
        <v>917</v>
      </c>
      <c r="N27" s="7" t="s">
        <v>918</v>
      </c>
      <c r="O27" s="7" t="s">
        <v>919</v>
      </c>
      <c r="P27" s="7" t="s">
        <v>920</v>
      </c>
      <c r="Q27">
        <v>36</v>
      </c>
      <c r="R27">
        <v>0.00016046896</v>
      </c>
      <c r="S27" s="7" t="s">
        <v>921</v>
      </c>
      <c r="T27">
        <v>4</v>
      </c>
      <c r="U27" s="4">
        <v>95</v>
      </c>
      <c r="V27" s="5" t="str">
        <f>IF(U27&gt;=[1]评分标准!$B$5,[1]评分标准!$A$5,IF(U27&gt;=[1]评分标准!$B$6,[1]评分标准!$A$6,IF(U27&gt;=[1]评分标准!$B$7,[1]评分标准!$A$7,IF(U27&gt;=[1]评分标准!$B$8,[1]评分标准!$A$8,[1]评分标准!$A$9))))</f>
        <v>高度相似</v>
      </c>
      <c r="W27" s="7" t="s">
        <v>922</v>
      </c>
      <c r="X27" s="7" t="s">
        <v>923</v>
      </c>
      <c r="Y27" s="7" t="s">
        <v>924</v>
      </c>
      <c r="Z27" s="7" t="s">
        <v>925</v>
      </c>
      <c r="AA27" s="7" t="s">
        <v>926</v>
      </c>
      <c r="AB27" s="7" t="s">
        <v>927</v>
      </c>
      <c r="AC27" s="7" t="s">
        <v>928</v>
      </c>
      <c r="AD27" s="7" t="s">
        <v>929</v>
      </c>
      <c r="AE27" s="7" t="s">
        <v>930</v>
      </c>
      <c r="AF27" s="7" t="s">
        <v>931</v>
      </c>
      <c r="AG27" s="7" t="s">
        <v>932</v>
      </c>
      <c r="AH27" s="7" t="s">
        <v>933</v>
      </c>
      <c r="AI27" s="7" t="s">
        <v>934</v>
      </c>
      <c r="AJ27" s="7" t="s">
        <v>935</v>
      </c>
      <c r="AK27" s="7" t="s">
        <v>936</v>
      </c>
      <c r="AL27" s="7" t="s">
        <v>937</v>
      </c>
      <c r="AM27" s="7" t="s">
        <v>938</v>
      </c>
      <c r="AN27" s="7" t="s">
        <v>939</v>
      </c>
      <c r="AO27" s="7" t="s">
        <v>940</v>
      </c>
      <c r="AP27" s="7" t="s">
        <v>941</v>
      </c>
      <c r="AQ27" s="7" t="s">
        <v>942</v>
      </c>
      <c r="AR27" s="7" t="s">
        <v>943</v>
      </c>
      <c r="AS27" s="7" t="s">
        <v>944</v>
      </c>
      <c r="AT27" s="7" t="s">
        <v>945</v>
      </c>
    </row>
    <row r="28" ht="16.5" spans="1:46">
      <c r="A28" t="s">
        <v>946</v>
      </c>
      <c r="B28">
        <v>1</v>
      </c>
      <c r="C28" t="s">
        <v>947</v>
      </c>
      <c r="D28" t="s">
        <v>948</v>
      </c>
      <c r="E28" t="s">
        <v>949</v>
      </c>
      <c r="F28" t="s">
        <v>164</v>
      </c>
      <c r="G28" t="s">
        <v>652</v>
      </c>
      <c r="H28" t="s">
        <v>950</v>
      </c>
      <c r="I28" t="s">
        <v>951</v>
      </c>
      <c r="J28" t="s">
        <v>952</v>
      </c>
      <c r="K28" t="s">
        <v>953</v>
      </c>
      <c r="L28" t="s">
        <v>954</v>
      </c>
      <c r="M28" t="s">
        <v>269</v>
      </c>
      <c r="N28" s="7" t="s">
        <v>955</v>
      </c>
      <c r="O28" s="7" t="s">
        <v>956</v>
      </c>
      <c r="P28" s="7" t="s">
        <v>957</v>
      </c>
      <c r="Q28">
        <v>39</v>
      </c>
      <c r="R28">
        <v>0.0004507029</v>
      </c>
      <c r="S28" s="7" t="s">
        <v>958</v>
      </c>
      <c r="T28">
        <v>1</v>
      </c>
      <c r="U28" s="2">
        <v>98</v>
      </c>
      <c r="V28" s="3" t="str">
        <f>IF(U28&gt;=[1]评分标准!$B$5,[1]评分标准!$A$5,IF(U28&gt;=[1]评分标准!$B$6,[1]评分标准!$A$6,IF(U28&gt;=[1]评分标准!$B$7,[1]评分标准!$A$7,IF(U28&gt;=[1]评分标准!$B$8,[1]评分标准!$A$8,[1]评分标准!$A$9))))</f>
        <v>高度相似</v>
      </c>
      <c r="W28" s="7" t="s">
        <v>959</v>
      </c>
      <c r="X28" s="7" t="s">
        <v>960</v>
      </c>
      <c r="Y28">
        <v>1</v>
      </c>
      <c r="Z28" s="7" t="s">
        <v>961</v>
      </c>
      <c r="AA28" s="7" t="s">
        <v>962</v>
      </c>
      <c r="AB28">
        <v>1</v>
      </c>
      <c r="AC28" s="7" t="s">
        <v>963</v>
      </c>
      <c r="AD28" s="7" t="s">
        <v>964</v>
      </c>
      <c r="AE28">
        <v>1</v>
      </c>
      <c r="AF28" s="7" t="s">
        <v>965</v>
      </c>
      <c r="AG28" s="7" t="s">
        <v>966</v>
      </c>
      <c r="AH28">
        <v>1</v>
      </c>
      <c r="AI28" s="7" t="s">
        <v>967</v>
      </c>
      <c r="AJ28" s="7" t="s">
        <v>968</v>
      </c>
      <c r="AK28" s="7" t="s">
        <v>969</v>
      </c>
      <c r="AL28" s="7" t="s">
        <v>970</v>
      </c>
      <c r="AM28" s="7" t="s">
        <v>971</v>
      </c>
      <c r="AN28" s="7" t="s">
        <v>972</v>
      </c>
      <c r="AO28" s="7" t="s">
        <v>973</v>
      </c>
      <c r="AP28" s="7" t="s">
        <v>974</v>
      </c>
      <c r="AQ28" s="7" t="s">
        <v>975</v>
      </c>
      <c r="AR28" s="7" t="s">
        <v>976</v>
      </c>
      <c r="AS28" s="7" t="s">
        <v>977</v>
      </c>
      <c r="AT28" s="7" t="s">
        <v>978</v>
      </c>
    </row>
    <row r="29" ht="16.5" spans="1:46">
      <c r="A29" t="s">
        <v>979</v>
      </c>
      <c r="B29">
        <v>1</v>
      </c>
      <c r="C29" t="s">
        <v>980</v>
      </c>
      <c r="D29" t="s">
        <v>981</v>
      </c>
      <c r="E29" t="s">
        <v>982</v>
      </c>
      <c r="F29" t="s">
        <v>875</v>
      </c>
      <c r="G29" t="s">
        <v>125</v>
      </c>
      <c r="H29" t="s">
        <v>983</v>
      </c>
      <c r="I29" t="s">
        <v>128</v>
      </c>
      <c r="J29" t="s">
        <v>984</v>
      </c>
      <c r="K29" t="s">
        <v>985</v>
      </c>
      <c r="L29" t="s">
        <v>986</v>
      </c>
      <c r="M29" t="s">
        <v>528</v>
      </c>
      <c r="N29" s="7" t="s">
        <v>987</v>
      </c>
      <c r="O29" s="7" t="s">
        <v>988</v>
      </c>
      <c r="P29" s="7" t="s">
        <v>989</v>
      </c>
      <c r="Q29">
        <v>37</v>
      </c>
      <c r="R29">
        <v>0.0010352337</v>
      </c>
      <c r="S29" s="7" t="s">
        <v>990</v>
      </c>
      <c r="T29">
        <v>3</v>
      </c>
      <c r="U29" s="4">
        <v>98</v>
      </c>
      <c r="V29" s="5" t="str">
        <f>IF(U29&gt;=[1]评分标准!$B$5,[1]评分标准!$A$5,IF(U29&gt;=[1]评分标准!$B$6,[1]评分标准!$A$6,IF(U29&gt;=[1]评分标准!$B$7,[1]评分标准!$A$7,IF(U29&gt;=[1]评分标准!$B$8,[1]评分标准!$A$8,[1]评分标准!$A$9))))</f>
        <v>高度相似</v>
      </c>
      <c r="W29" s="7" t="s">
        <v>991</v>
      </c>
      <c r="X29" s="7" t="s">
        <v>992</v>
      </c>
      <c r="Y29">
        <v>1</v>
      </c>
      <c r="Z29" s="7" t="s">
        <v>993</v>
      </c>
      <c r="AA29" s="7" t="s">
        <v>994</v>
      </c>
      <c r="AB29">
        <v>1</v>
      </c>
      <c r="AC29" s="7" t="s">
        <v>995</v>
      </c>
      <c r="AD29" s="7" t="s">
        <v>996</v>
      </c>
      <c r="AE29">
        <v>1</v>
      </c>
      <c r="AF29" s="7" t="s">
        <v>997</v>
      </c>
      <c r="AG29" s="7" t="s">
        <v>998</v>
      </c>
      <c r="AH29">
        <v>1</v>
      </c>
      <c r="AI29" s="7" t="s">
        <v>999</v>
      </c>
      <c r="AJ29" s="7" t="s">
        <v>1000</v>
      </c>
      <c r="AK29" s="7" t="s">
        <v>1001</v>
      </c>
      <c r="AL29" s="7" t="s">
        <v>1002</v>
      </c>
      <c r="AM29" s="7" t="s">
        <v>1003</v>
      </c>
      <c r="AN29" s="7" t="s">
        <v>1004</v>
      </c>
      <c r="AO29" s="7" t="s">
        <v>1005</v>
      </c>
      <c r="AP29" s="7" t="s">
        <v>1006</v>
      </c>
      <c r="AQ29" s="7" t="s">
        <v>1007</v>
      </c>
      <c r="AR29" s="7" t="s">
        <v>1008</v>
      </c>
      <c r="AS29" s="7" t="s">
        <v>1009</v>
      </c>
      <c r="AT29" s="7" t="s">
        <v>1010</v>
      </c>
    </row>
    <row r="30" ht="16.5" spans="1:46">
      <c r="A30" t="s">
        <v>1011</v>
      </c>
      <c r="B30">
        <v>1</v>
      </c>
      <c r="C30" t="s">
        <v>1012</v>
      </c>
      <c r="D30" t="s">
        <v>1013</v>
      </c>
      <c r="E30" t="e">
        <f>-tau*LOG((v-v_inf)/(v0-v_inf))</f>
        <v>#NAME?</v>
      </c>
      <c r="F30" t="s">
        <v>875</v>
      </c>
      <c r="G30" t="s">
        <v>50</v>
      </c>
      <c r="H30" t="s">
        <v>1014</v>
      </c>
      <c r="I30" t="s">
        <v>128</v>
      </c>
      <c r="J30" t="e">
        <f>-tau*LOG((v-v_inf)/(v0-v_inf))</f>
        <v>#NAME?</v>
      </c>
      <c r="K30" t="s">
        <v>1015</v>
      </c>
      <c r="L30" t="s">
        <v>1016</v>
      </c>
      <c r="M30" t="s">
        <v>376</v>
      </c>
      <c r="N30" s="7" t="s">
        <v>1017</v>
      </c>
      <c r="O30" s="7" t="s">
        <v>1018</v>
      </c>
      <c r="P30" s="7" t="s">
        <v>1019</v>
      </c>
      <c r="Q30">
        <v>23</v>
      </c>
      <c r="R30">
        <v>0.0008865327</v>
      </c>
      <c r="S30" s="7" t="s">
        <v>1020</v>
      </c>
      <c r="T30">
        <v>1</v>
      </c>
      <c r="U30" s="2">
        <v>98</v>
      </c>
      <c r="V30" s="3" t="str">
        <f>IF(U30&gt;=[1]评分标准!$B$5,[1]评分标准!$A$5,IF(U30&gt;=[1]评分标准!$B$6,[1]评分标准!$A$6,IF(U30&gt;=[1]评分标准!$B$7,[1]评分标准!$A$7,IF(U30&gt;=[1]评分标准!$B$8,[1]评分标准!$A$8,[1]评分标准!$A$9))))</f>
        <v>高度相似</v>
      </c>
      <c r="W30" s="7" t="s">
        <v>1021</v>
      </c>
      <c r="X30" s="7" t="s">
        <v>1022</v>
      </c>
      <c r="Y30">
        <v>1</v>
      </c>
      <c r="Z30" s="7" t="s">
        <v>1023</v>
      </c>
      <c r="AA30" s="7" t="s">
        <v>1024</v>
      </c>
      <c r="AB30">
        <v>1</v>
      </c>
      <c r="AC30" s="7" t="s">
        <v>1025</v>
      </c>
      <c r="AD30" s="7" t="s">
        <v>1026</v>
      </c>
      <c r="AE30">
        <v>1</v>
      </c>
      <c r="AF30" s="7" t="s">
        <v>1027</v>
      </c>
      <c r="AG30" s="7" t="s">
        <v>1028</v>
      </c>
      <c r="AH30">
        <v>1</v>
      </c>
      <c r="AI30" s="7" t="s">
        <v>1029</v>
      </c>
      <c r="AJ30" s="7" t="s">
        <v>1030</v>
      </c>
      <c r="AK30" s="7" t="s">
        <v>1031</v>
      </c>
      <c r="AL30" s="7" t="s">
        <v>1032</v>
      </c>
      <c r="AM30" s="7" t="s">
        <v>1033</v>
      </c>
      <c r="AN30" s="7" t="s">
        <v>1034</v>
      </c>
      <c r="AO30" s="7" t="s">
        <v>1035</v>
      </c>
      <c r="AP30" s="7" t="s">
        <v>1036</v>
      </c>
      <c r="AQ30" s="7" t="s">
        <v>1037</v>
      </c>
      <c r="AR30" s="7" t="s">
        <v>1038</v>
      </c>
      <c r="AS30" s="7" t="s">
        <v>1039</v>
      </c>
      <c r="AT30" s="7" t="s">
        <v>1040</v>
      </c>
    </row>
    <row r="31" ht="16.5" spans="1:46">
      <c r="A31" t="s">
        <v>1041</v>
      </c>
      <c r="B31">
        <v>1</v>
      </c>
      <c r="C31" t="s">
        <v>1042</v>
      </c>
      <c r="D31" t="s">
        <v>1043</v>
      </c>
      <c r="E31" t="s">
        <v>1044</v>
      </c>
      <c r="F31" t="s">
        <v>875</v>
      </c>
      <c r="G31" t="s">
        <v>50</v>
      </c>
      <c r="H31" t="s">
        <v>1045</v>
      </c>
      <c r="I31" t="s">
        <v>1046</v>
      </c>
      <c r="J31" t="s">
        <v>1047</v>
      </c>
      <c r="K31" t="s">
        <v>1048</v>
      </c>
      <c r="L31" t="s">
        <v>1049</v>
      </c>
      <c r="M31" t="s">
        <v>528</v>
      </c>
      <c r="N31" s="7" t="s">
        <v>1050</v>
      </c>
      <c r="O31" s="7" t="s">
        <v>1051</v>
      </c>
      <c r="P31" s="7" t="s">
        <v>1052</v>
      </c>
      <c r="Q31">
        <v>34</v>
      </c>
      <c r="R31">
        <v>0.00022075447</v>
      </c>
      <c r="S31" s="7" t="s">
        <v>1053</v>
      </c>
      <c r="T31">
        <v>1</v>
      </c>
      <c r="U31" s="4">
        <v>95</v>
      </c>
      <c r="V31" s="5" t="str">
        <f>IF(U31&gt;=[1]评分标准!$B$5,[1]评分标准!$A$5,IF(U31&gt;=[1]评分标准!$B$6,[1]评分标准!$A$6,IF(U31&gt;=[1]评分标准!$B$7,[1]评分标准!$A$7,IF(U31&gt;=[1]评分标准!$B$8,[1]评分标准!$A$8,[1]评分标准!$A$9))))</f>
        <v>高度相似</v>
      </c>
      <c r="W31" s="7" t="s">
        <v>1054</v>
      </c>
      <c r="X31" s="7" t="s">
        <v>1055</v>
      </c>
      <c r="Y31">
        <v>1</v>
      </c>
      <c r="Z31" s="7" t="s">
        <v>1056</v>
      </c>
      <c r="AA31" s="7" t="s">
        <v>1057</v>
      </c>
      <c r="AB31">
        <v>1</v>
      </c>
      <c r="AC31" s="7" t="s">
        <v>1058</v>
      </c>
      <c r="AD31" s="7" t="s">
        <v>1059</v>
      </c>
      <c r="AE31">
        <v>1</v>
      </c>
      <c r="AF31" s="7" t="s">
        <v>1060</v>
      </c>
      <c r="AG31" s="7" t="s">
        <v>1061</v>
      </c>
      <c r="AH31">
        <v>1</v>
      </c>
      <c r="AI31" s="7" t="s">
        <v>1062</v>
      </c>
      <c r="AJ31" s="7" t="s">
        <v>1063</v>
      </c>
      <c r="AK31" s="7" t="s">
        <v>1064</v>
      </c>
      <c r="AL31" s="7" t="s">
        <v>1065</v>
      </c>
      <c r="AM31" s="7" t="s">
        <v>1066</v>
      </c>
      <c r="AN31" s="7" t="s">
        <v>1067</v>
      </c>
      <c r="AO31" s="7" t="s">
        <v>1068</v>
      </c>
      <c r="AP31" s="7" t="s">
        <v>1069</v>
      </c>
      <c r="AQ31" s="7" t="s">
        <v>1070</v>
      </c>
      <c r="AR31" s="7" t="s">
        <v>1071</v>
      </c>
      <c r="AS31" s="7" t="s">
        <v>1072</v>
      </c>
      <c r="AT31" s="7" t="s">
        <v>1073</v>
      </c>
    </row>
    <row r="32" ht="16.5" spans="1:46">
      <c r="A32" t="s">
        <v>1074</v>
      </c>
      <c r="B32">
        <v>1</v>
      </c>
      <c r="C32" t="s">
        <v>1075</v>
      </c>
      <c r="D32" t="s">
        <v>1076</v>
      </c>
      <c r="E32" t="s">
        <v>1077</v>
      </c>
      <c r="F32" t="s">
        <v>50</v>
      </c>
      <c r="G32" t="s">
        <v>1078</v>
      </c>
      <c r="H32" t="s">
        <v>1079</v>
      </c>
      <c r="I32" t="s">
        <v>128</v>
      </c>
      <c r="J32" t="s">
        <v>1080</v>
      </c>
      <c r="K32" t="s">
        <v>1081</v>
      </c>
      <c r="L32" t="s">
        <v>1082</v>
      </c>
      <c r="M32" t="s">
        <v>376</v>
      </c>
      <c r="N32" s="7" t="s">
        <v>1083</v>
      </c>
      <c r="O32" s="7" t="s">
        <v>1084</v>
      </c>
      <c r="P32" s="7" t="s">
        <v>1085</v>
      </c>
      <c r="Q32">
        <v>25</v>
      </c>
      <c r="R32">
        <v>0.00019260883</v>
      </c>
      <c r="S32" s="7" t="s">
        <v>1086</v>
      </c>
      <c r="T32">
        <v>1</v>
      </c>
      <c r="U32" s="2">
        <v>98</v>
      </c>
      <c r="V32" s="3" t="str">
        <f>IF(U32&gt;=[1]评分标准!$B$5,[1]评分标准!$A$5,IF(U32&gt;=[1]评分标准!$B$6,[1]评分标准!$A$6,IF(U32&gt;=[1]评分标准!$B$7,[1]评分标准!$A$7,IF(U32&gt;=[1]评分标准!$B$8,[1]评分标准!$A$8,[1]评分标准!$A$9))))</f>
        <v>高度相似</v>
      </c>
      <c r="W32" s="7" t="s">
        <v>1087</v>
      </c>
      <c r="X32" s="7" t="s">
        <v>1088</v>
      </c>
      <c r="Y32" s="7" t="s">
        <v>1089</v>
      </c>
      <c r="Z32" s="7" t="s">
        <v>1090</v>
      </c>
      <c r="AA32" s="7" t="s">
        <v>1091</v>
      </c>
      <c r="AB32" s="7" t="s">
        <v>1092</v>
      </c>
      <c r="AC32" s="7" t="s">
        <v>1093</v>
      </c>
      <c r="AD32" s="7" t="s">
        <v>1094</v>
      </c>
      <c r="AE32" s="7" t="s">
        <v>1095</v>
      </c>
      <c r="AF32" s="7" t="s">
        <v>1096</v>
      </c>
      <c r="AG32" s="7" t="s">
        <v>1097</v>
      </c>
      <c r="AH32" s="7" t="s">
        <v>1098</v>
      </c>
      <c r="AI32" s="7" t="s">
        <v>1099</v>
      </c>
      <c r="AJ32" s="7" t="s">
        <v>1100</v>
      </c>
      <c r="AK32" s="7" t="s">
        <v>1101</v>
      </c>
      <c r="AL32" s="7" t="s">
        <v>1102</v>
      </c>
      <c r="AM32" s="7" t="s">
        <v>1103</v>
      </c>
      <c r="AN32" s="7" t="s">
        <v>1104</v>
      </c>
      <c r="AO32" s="7" t="s">
        <v>1105</v>
      </c>
      <c r="AP32" s="7" t="s">
        <v>1106</v>
      </c>
      <c r="AQ32" s="7" t="s">
        <v>1107</v>
      </c>
      <c r="AR32" s="7" t="s">
        <v>1108</v>
      </c>
      <c r="AS32" s="7" t="s">
        <v>1109</v>
      </c>
      <c r="AT32" s="7" t="s">
        <v>1110</v>
      </c>
    </row>
    <row r="33" ht="16.5" spans="1:46">
      <c r="A33" t="s">
        <v>1111</v>
      </c>
      <c r="B33">
        <v>1</v>
      </c>
      <c r="C33" t="s">
        <v>1112</v>
      </c>
      <c r="D33" t="s">
        <v>1113</v>
      </c>
      <c r="E33" t="s">
        <v>1114</v>
      </c>
      <c r="F33" t="s">
        <v>50</v>
      </c>
      <c r="G33" t="s">
        <v>1115</v>
      </c>
      <c r="H33" t="s">
        <v>1116</v>
      </c>
      <c r="I33" t="s">
        <v>128</v>
      </c>
      <c r="J33" t="s">
        <v>1117</v>
      </c>
      <c r="K33" t="s">
        <v>1118</v>
      </c>
      <c r="L33" t="s">
        <v>1119</v>
      </c>
      <c r="M33" t="s">
        <v>269</v>
      </c>
      <c r="N33" s="7" t="s">
        <v>1120</v>
      </c>
      <c r="O33" s="7" t="s">
        <v>1121</v>
      </c>
      <c r="P33" s="7" t="s">
        <v>1122</v>
      </c>
      <c r="Q33">
        <v>37</v>
      </c>
      <c r="R33">
        <v>0.0009830291</v>
      </c>
      <c r="S33" s="7" t="s">
        <v>1123</v>
      </c>
      <c r="T33">
        <v>0</v>
      </c>
      <c r="U33" s="4">
        <v>65</v>
      </c>
      <c r="V33" s="5" t="str">
        <f>IF(U33&gt;=[1]评分标准!$B$5,[1]评分标准!$A$5,IF(U33&gt;=[1]评分标准!$B$6,[1]评分标准!$A$6,IF(U33&gt;=[1]评分标准!$B$7,[1]评分标准!$A$7,IF(U33&gt;=[1]评分标准!$B$8,[1]评分标准!$A$8,[1]评分标准!$A$9))))</f>
        <v>中等相似</v>
      </c>
      <c r="W33" s="7" t="s">
        <v>1124</v>
      </c>
      <c r="X33" s="7" t="s">
        <v>1125</v>
      </c>
      <c r="Y33" s="7" t="s">
        <v>1126</v>
      </c>
      <c r="Z33" s="7" t="s">
        <v>1127</v>
      </c>
      <c r="AA33" s="7" t="s">
        <v>1128</v>
      </c>
      <c r="AB33" s="7" t="s">
        <v>1129</v>
      </c>
      <c r="AC33" s="7" t="s">
        <v>1130</v>
      </c>
      <c r="AD33" s="7" t="s">
        <v>1131</v>
      </c>
      <c r="AE33" s="7" t="s">
        <v>1132</v>
      </c>
      <c r="AF33" s="7" t="s">
        <v>1133</v>
      </c>
      <c r="AG33" s="7" t="s">
        <v>1134</v>
      </c>
      <c r="AH33" s="7" t="s">
        <v>1135</v>
      </c>
      <c r="AI33" s="7" t="s">
        <v>1136</v>
      </c>
      <c r="AJ33" s="7" t="s">
        <v>1137</v>
      </c>
      <c r="AK33" s="7" t="s">
        <v>1138</v>
      </c>
      <c r="AL33" s="7" t="s">
        <v>1139</v>
      </c>
      <c r="AM33" s="7" t="s">
        <v>1140</v>
      </c>
      <c r="AN33" s="7" t="s">
        <v>1141</v>
      </c>
      <c r="AO33" s="7" t="s">
        <v>1142</v>
      </c>
      <c r="AP33" s="7" t="s">
        <v>1143</v>
      </c>
      <c r="AQ33" s="7" t="s">
        <v>1144</v>
      </c>
      <c r="AR33" s="7" t="s">
        <v>1145</v>
      </c>
      <c r="AS33" s="7" t="s">
        <v>1146</v>
      </c>
      <c r="AT33" s="7" t="s">
        <v>1147</v>
      </c>
    </row>
    <row r="34" ht="16.5" spans="1:46">
      <c r="A34" t="s">
        <v>1148</v>
      </c>
      <c r="B34">
        <v>1</v>
      </c>
      <c r="C34" t="s">
        <v>1149</v>
      </c>
      <c r="D34" t="s">
        <v>1150</v>
      </c>
      <c r="E34" t="s">
        <v>1151</v>
      </c>
      <c r="F34" t="s">
        <v>301</v>
      </c>
      <c r="G34" t="s">
        <v>50</v>
      </c>
      <c r="H34" t="s">
        <v>1152</v>
      </c>
      <c r="I34" t="s">
        <v>1153</v>
      </c>
      <c r="J34" t="s">
        <v>1154</v>
      </c>
      <c r="K34" t="s">
        <v>1155</v>
      </c>
      <c r="L34" t="s">
        <v>1156</v>
      </c>
      <c r="M34" t="s">
        <v>57</v>
      </c>
      <c r="N34" s="7" t="s">
        <v>1157</v>
      </c>
      <c r="O34" s="7" t="s">
        <v>1158</v>
      </c>
      <c r="P34" s="7" t="s">
        <v>1159</v>
      </c>
      <c r="Q34">
        <v>21</v>
      </c>
      <c r="R34">
        <v>0.0016628403</v>
      </c>
      <c r="S34" s="7" t="s">
        <v>1160</v>
      </c>
      <c r="T34">
        <v>6</v>
      </c>
      <c r="U34" s="2">
        <v>98</v>
      </c>
      <c r="V34" s="3" t="str">
        <f>IF(U34&gt;=[1]评分标准!$B$5,[1]评分标准!$A$5,IF(U34&gt;=[1]评分标准!$B$6,[1]评分标准!$A$6,IF(U34&gt;=[1]评分标准!$B$7,[1]评分标准!$A$7,IF(U34&gt;=[1]评分标准!$B$8,[1]评分标准!$A$8,[1]评分标准!$A$9))))</f>
        <v>高度相似</v>
      </c>
      <c r="W34" s="7" t="s">
        <v>1161</v>
      </c>
      <c r="X34" s="7" t="s">
        <v>1162</v>
      </c>
      <c r="Y34">
        <v>1</v>
      </c>
      <c r="Z34" s="7" t="s">
        <v>1163</v>
      </c>
      <c r="AA34" s="7" t="s">
        <v>1164</v>
      </c>
      <c r="AB34">
        <v>1</v>
      </c>
      <c r="AC34" s="7" t="s">
        <v>1165</v>
      </c>
      <c r="AD34" s="7" t="s">
        <v>1166</v>
      </c>
      <c r="AE34">
        <v>1</v>
      </c>
      <c r="AF34" s="7" t="s">
        <v>1167</v>
      </c>
      <c r="AG34" s="7" t="s">
        <v>1168</v>
      </c>
      <c r="AH34">
        <v>1</v>
      </c>
      <c r="AI34" s="7" t="s">
        <v>1169</v>
      </c>
      <c r="AJ34" s="7" t="s">
        <v>1170</v>
      </c>
      <c r="AK34" s="7" t="s">
        <v>1171</v>
      </c>
      <c r="AL34" s="7" t="s">
        <v>1172</v>
      </c>
      <c r="AM34" s="7" t="s">
        <v>1173</v>
      </c>
      <c r="AN34" s="7" t="s">
        <v>1174</v>
      </c>
      <c r="AO34" s="7" t="s">
        <v>1175</v>
      </c>
      <c r="AP34" s="7" t="s">
        <v>1176</v>
      </c>
      <c r="AQ34" s="7" t="s">
        <v>1177</v>
      </c>
      <c r="AR34" s="7" t="s">
        <v>1178</v>
      </c>
      <c r="AS34" s="7" t="s">
        <v>1179</v>
      </c>
      <c r="AT34" s="7" t="s">
        <v>1180</v>
      </c>
    </row>
    <row r="35" ht="16.5" spans="1:46">
      <c r="A35" t="s">
        <v>1181</v>
      </c>
      <c r="B35">
        <v>1</v>
      </c>
      <c r="C35" t="s">
        <v>1182</v>
      </c>
      <c r="D35" t="s">
        <v>1183</v>
      </c>
      <c r="E35" t="s">
        <v>1184</v>
      </c>
      <c r="F35" t="s">
        <v>301</v>
      </c>
      <c r="G35" t="s">
        <v>911</v>
      </c>
      <c r="H35" t="s">
        <v>1185</v>
      </c>
      <c r="I35" t="s">
        <v>128</v>
      </c>
      <c r="J35" t="s">
        <v>1186</v>
      </c>
      <c r="K35" t="s">
        <v>1187</v>
      </c>
      <c r="L35" t="s">
        <v>1188</v>
      </c>
      <c r="M35" t="s">
        <v>269</v>
      </c>
      <c r="N35" s="7" t="s">
        <v>1189</v>
      </c>
      <c r="O35" s="7" t="s">
        <v>1190</v>
      </c>
      <c r="P35" s="7" t="s">
        <v>1191</v>
      </c>
      <c r="Q35">
        <v>23</v>
      </c>
      <c r="R35">
        <v>0.0040451554</v>
      </c>
      <c r="S35" s="7" t="s">
        <v>1192</v>
      </c>
      <c r="T35">
        <v>5</v>
      </c>
      <c r="U35" s="4">
        <v>60</v>
      </c>
      <c r="V35" s="5" t="str">
        <f>IF(U35&gt;=[1]评分标准!$B$5,[1]评分标准!$A$5,IF(U35&gt;=[1]评分标准!$B$6,[1]评分标准!$A$6,IF(U35&gt;=[1]评分标准!$B$7,[1]评分标准!$A$7,IF(U35&gt;=[1]评分标准!$B$8,[1]评分标准!$A$8,[1]评分标准!$A$9))))</f>
        <v>中等相似</v>
      </c>
      <c r="W35" s="7" t="s">
        <v>1193</v>
      </c>
      <c r="X35" s="7" t="s">
        <v>1194</v>
      </c>
      <c r="Y35" s="7" t="s">
        <v>1195</v>
      </c>
      <c r="Z35" s="7" t="s">
        <v>1196</v>
      </c>
      <c r="AA35" s="7" t="s">
        <v>1197</v>
      </c>
      <c r="AB35" s="7" t="s">
        <v>1198</v>
      </c>
      <c r="AC35" s="7" t="s">
        <v>1199</v>
      </c>
      <c r="AD35" s="7" t="s">
        <v>1200</v>
      </c>
      <c r="AE35" s="7" t="s">
        <v>1201</v>
      </c>
      <c r="AF35" s="7" t="s">
        <v>1202</v>
      </c>
      <c r="AG35" s="7" t="s">
        <v>1203</v>
      </c>
      <c r="AH35" s="7" t="s">
        <v>1204</v>
      </c>
      <c r="AI35" s="7" t="s">
        <v>1205</v>
      </c>
      <c r="AJ35" s="7" t="s">
        <v>1206</v>
      </c>
      <c r="AK35" s="7" t="s">
        <v>1207</v>
      </c>
      <c r="AL35" s="7" t="s">
        <v>1208</v>
      </c>
      <c r="AM35" s="7" t="s">
        <v>1209</v>
      </c>
      <c r="AN35" s="7" t="s">
        <v>1210</v>
      </c>
      <c r="AO35" s="7" t="s">
        <v>1211</v>
      </c>
      <c r="AP35" s="7" t="s">
        <v>1212</v>
      </c>
      <c r="AQ35" s="7" t="s">
        <v>1213</v>
      </c>
      <c r="AR35" s="7" t="s">
        <v>1214</v>
      </c>
      <c r="AS35" s="7" t="s">
        <v>1215</v>
      </c>
      <c r="AT35" s="7" t="s">
        <v>1216</v>
      </c>
    </row>
    <row r="36" ht="16.5" spans="1:46">
      <c r="A36" t="s">
        <v>1217</v>
      </c>
      <c r="B36">
        <v>1</v>
      </c>
      <c r="C36" t="s">
        <v>1218</v>
      </c>
      <c r="D36" t="s">
        <v>1219</v>
      </c>
      <c r="E36" t="e">
        <f>-tau*LOG(1-v/v_inf)</f>
        <v>#NAME?</v>
      </c>
      <c r="F36" t="s">
        <v>875</v>
      </c>
      <c r="G36" t="s">
        <v>1220</v>
      </c>
      <c r="H36" t="s">
        <v>1221</v>
      </c>
      <c r="I36" t="s">
        <v>128</v>
      </c>
      <c r="J36" t="e">
        <f>-tau*LOG(-v/v_inf+1)</f>
        <v>#NAME?</v>
      </c>
      <c r="K36" t="s">
        <v>1222</v>
      </c>
      <c r="L36" t="s">
        <v>1223</v>
      </c>
      <c r="M36" t="s">
        <v>494</v>
      </c>
      <c r="N36" s="7" t="s">
        <v>1224</v>
      </c>
      <c r="O36" s="7" t="s">
        <v>1225</v>
      </c>
      <c r="P36" s="7" t="s">
        <v>1226</v>
      </c>
      <c r="Q36">
        <v>36</v>
      </c>
      <c r="R36">
        <v>0.00077350857</v>
      </c>
      <c r="S36" s="7" t="s">
        <v>1227</v>
      </c>
      <c r="T36">
        <v>1</v>
      </c>
      <c r="U36" s="2">
        <v>50</v>
      </c>
      <c r="V36" s="3" t="str">
        <f>IF(U36&gt;=[1]评分标准!$B$5,[1]评分标准!$A$5,IF(U36&gt;=[1]评分标准!$B$6,[1]评分标准!$A$6,IF(U36&gt;=[1]评分标准!$B$7,[1]评分标准!$A$7,IF(U36&gt;=[1]评分标准!$B$8,[1]评分标准!$A$8,[1]评分标准!$A$9))))</f>
        <v>较低相似</v>
      </c>
      <c r="W36" s="7" t="s">
        <v>1228</v>
      </c>
      <c r="X36" s="7" t="s">
        <v>1229</v>
      </c>
      <c r="Y36" s="7" t="s">
        <v>1230</v>
      </c>
      <c r="Z36" s="7" t="s">
        <v>1231</v>
      </c>
      <c r="AA36" s="7" t="s">
        <v>1232</v>
      </c>
      <c r="AB36" s="7" t="s">
        <v>1233</v>
      </c>
      <c r="AC36" s="7" t="s">
        <v>1234</v>
      </c>
      <c r="AD36" s="7" t="s">
        <v>1235</v>
      </c>
      <c r="AE36" s="7" t="s">
        <v>1236</v>
      </c>
      <c r="AF36" s="7" t="s">
        <v>1237</v>
      </c>
      <c r="AG36" s="7" t="s">
        <v>1238</v>
      </c>
      <c r="AH36" s="7" t="s">
        <v>1239</v>
      </c>
      <c r="AI36" s="7" t="s">
        <v>1240</v>
      </c>
      <c r="AJ36" s="7" t="s">
        <v>1241</v>
      </c>
      <c r="AK36" s="7" t="s">
        <v>1242</v>
      </c>
      <c r="AL36" s="7" t="s">
        <v>1243</v>
      </c>
      <c r="AM36" s="7" t="s">
        <v>1244</v>
      </c>
      <c r="AN36" s="7" t="s">
        <v>1245</v>
      </c>
      <c r="AO36" s="7" t="s">
        <v>1246</v>
      </c>
      <c r="AP36" s="7" t="s">
        <v>1247</v>
      </c>
      <c r="AQ36" s="7" t="s">
        <v>1248</v>
      </c>
      <c r="AR36" s="7" t="s">
        <v>1249</v>
      </c>
      <c r="AS36" s="7" t="s">
        <v>1250</v>
      </c>
      <c r="AT36" s="7" t="s">
        <v>1251</v>
      </c>
    </row>
    <row r="37" ht="16.5" spans="1:46">
      <c r="A37" t="s">
        <v>1252</v>
      </c>
      <c r="B37">
        <v>1</v>
      </c>
      <c r="C37" t="s">
        <v>1253</v>
      </c>
      <c r="D37" t="s">
        <v>1254</v>
      </c>
      <c r="E37" t="s">
        <v>1255</v>
      </c>
      <c r="F37" t="s">
        <v>410</v>
      </c>
      <c r="G37" t="s">
        <v>1256</v>
      </c>
      <c r="H37" t="s">
        <v>1257</v>
      </c>
      <c r="I37" t="s">
        <v>128</v>
      </c>
      <c r="J37" t="s">
        <v>1258</v>
      </c>
      <c r="K37" t="s">
        <v>1259</v>
      </c>
      <c r="L37" t="s">
        <v>1260</v>
      </c>
      <c r="M37" t="s">
        <v>528</v>
      </c>
      <c r="N37" s="7" t="s">
        <v>1261</v>
      </c>
      <c r="O37" s="7" t="s">
        <v>1262</v>
      </c>
      <c r="P37" s="7" t="s">
        <v>1263</v>
      </c>
      <c r="Q37">
        <v>32</v>
      </c>
      <c r="R37">
        <v>0.0039740955</v>
      </c>
      <c r="S37" s="7" t="s">
        <v>1264</v>
      </c>
      <c r="T37">
        <v>7</v>
      </c>
      <c r="U37" s="4">
        <v>45</v>
      </c>
      <c r="V37" s="5" t="str">
        <f>IF(U37&gt;=[1]评分标准!$B$5,[1]评分标准!$A$5,IF(U37&gt;=[1]评分标准!$B$6,[1]评分标准!$A$6,IF(U37&gt;=[1]评分标准!$B$7,[1]评分标准!$A$7,IF(U37&gt;=[1]评分标准!$B$8,[1]评分标准!$A$8,[1]评分标准!$A$9))))</f>
        <v>较低相似</v>
      </c>
      <c r="W37" s="7" t="s">
        <v>1265</v>
      </c>
      <c r="X37" s="7" t="s">
        <v>1266</v>
      </c>
      <c r="Y37" s="7" t="s">
        <v>1267</v>
      </c>
      <c r="Z37" s="7" t="s">
        <v>1268</v>
      </c>
      <c r="AA37" s="7" t="s">
        <v>1269</v>
      </c>
      <c r="AB37" s="7" t="s">
        <v>1270</v>
      </c>
      <c r="AC37" s="7" t="s">
        <v>1271</v>
      </c>
      <c r="AD37" s="7" t="s">
        <v>1272</v>
      </c>
      <c r="AE37" s="7" t="s">
        <v>1273</v>
      </c>
      <c r="AF37" s="7" t="s">
        <v>1274</v>
      </c>
      <c r="AG37" s="7" t="s">
        <v>1275</v>
      </c>
      <c r="AH37" s="7" t="s">
        <v>1276</v>
      </c>
      <c r="AI37" s="7" t="s">
        <v>1277</v>
      </c>
      <c r="AJ37" s="7" t="s">
        <v>1278</v>
      </c>
      <c r="AK37" s="7" t="s">
        <v>1279</v>
      </c>
      <c r="AL37" s="7" t="s">
        <v>1280</v>
      </c>
      <c r="AM37" s="7" t="s">
        <v>1281</v>
      </c>
      <c r="AN37" s="7" t="s">
        <v>1282</v>
      </c>
      <c r="AO37" s="7" t="s">
        <v>1283</v>
      </c>
      <c r="AP37" s="7" t="s">
        <v>1284</v>
      </c>
      <c r="AQ37" s="7" t="s">
        <v>1285</v>
      </c>
      <c r="AR37" s="7" t="s">
        <v>1286</v>
      </c>
      <c r="AS37" s="7" t="s">
        <v>1287</v>
      </c>
      <c r="AT37" s="7" t="s">
        <v>1288</v>
      </c>
    </row>
    <row r="38" ht="16.5" spans="1:46">
      <c r="A38" t="s">
        <v>1289</v>
      </c>
      <c r="B38">
        <v>1</v>
      </c>
      <c r="C38" t="s">
        <v>1290</v>
      </c>
      <c r="D38" t="s">
        <v>1291</v>
      </c>
      <c r="E38" t="s">
        <v>1292</v>
      </c>
      <c r="F38" t="s">
        <v>911</v>
      </c>
      <c r="G38" t="s">
        <v>1293</v>
      </c>
      <c r="H38" t="s">
        <v>1294</v>
      </c>
      <c r="I38" t="s">
        <v>128</v>
      </c>
      <c r="J38" t="s">
        <v>1295</v>
      </c>
      <c r="K38" t="s">
        <v>1296</v>
      </c>
      <c r="L38" t="s">
        <v>1297</v>
      </c>
      <c r="M38" t="s">
        <v>269</v>
      </c>
      <c r="N38" s="7" t="s">
        <v>1298</v>
      </c>
      <c r="O38" s="7" t="s">
        <v>1299</v>
      </c>
      <c r="P38" s="7" t="s">
        <v>1300</v>
      </c>
      <c r="Q38">
        <v>33</v>
      </c>
      <c r="R38">
        <v>0.0011435318</v>
      </c>
      <c r="S38" s="7" t="s">
        <v>1301</v>
      </c>
      <c r="T38">
        <v>2</v>
      </c>
      <c r="U38" s="2">
        <v>50</v>
      </c>
      <c r="V38" s="3" t="str">
        <f>IF(U38&gt;=[1]评分标准!$B$5,[1]评分标准!$A$5,IF(U38&gt;=[1]评分标准!$B$6,[1]评分标准!$A$6,IF(U38&gt;=[1]评分标准!$B$7,[1]评分标准!$A$7,IF(U38&gt;=[1]评分标准!$B$8,[1]评分标准!$A$8,[1]评分标准!$A$9))))</f>
        <v>较低相似</v>
      </c>
      <c r="W38" s="7" t="s">
        <v>1302</v>
      </c>
      <c r="X38" s="7" t="s">
        <v>1303</v>
      </c>
      <c r="Y38" s="7" t="s">
        <v>1304</v>
      </c>
      <c r="Z38" s="7" t="s">
        <v>1305</v>
      </c>
      <c r="AA38" s="7" t="s">
        <v>1306</v>
      </c>
      <c r="AB38" s="7" t="s">
        <v>1307</v>
      </c>
      <c r="AC38" s="7" t="s">
        <v>1308</v>
      </c>
      <c r="AD38" s="7" t="s">
        <v>1309</v>
      </c>
      <c r="AE38" s="7" t="s">
        <v>1310</v>
      </c>
      <c r="AF38" s="7" t="s">
        <v>1311</v>
      </c>
      <c r="AG38" s="7" t="s">
        <v>1312</v>
      </c>
      <c r="AH38" s="7" t="s">
        <v>1313</v>
      </c>
      <c r="AI38" s="7" t="s">
        <v>1314</v>
      </c>
      <c r="AJ38" s="7" t="s">
        <v>1315</v>
      </c>
      <c r="AK38" s="7" t="s">
        <v>1316</v>
      </c>
      <c r="AL38" s="7" t="s">
        <v>1317</v>
      </c>
      <c r="AM38" s="7" t="s">
        <v>1318</v>
      </c>
      <c r="AN38" s="7" t="s">
        <v>1319</v>
      </c>
      <c r="AO38" s="7" t="s">
        <v>1320</v>
      </c>
      <c r="AP38" s="7" t="s">
        <v>1321</v>
      </c>
      <c r="AQ38" s="7" t="s">
        <v>1322</v>
      </c>
      <c r="AR38" s="7" t="s">
        <v>1323</v>
      </c>
      <c r="AS38" s="7" t="s">
        <v>1324</v>
      </c>
      <c r="AT38" s="7" t="s">
        <v>1325</v>
      </c>
    </row>
    <row r="39" ht="16.5" spans="1:46">
      <c r="A39" t="s">
        <v>1326</v>
      </c>
      <c r="B39">
        <v>1</v>
      </c>
      <c r="C39" t="s">
        <v>1327</v>
      </c>
      <c r="D39" t="s">
        <v>1328</v>
      </c>
      <c r="E39" t="s">
        <v>1329</v>
      </c>
      <c r="F39" t="s">
        <v>652</v>
      </c>
      <c r="G39" t="s">
        <v>1078</v>
      </c>
      <c r="H39" t="s">
        <v>1330</v>
      </c>
      <c r="I39" t="s">
        <v>1331</v>
      </c>
      <c r="J39" t="s">
        <v>1332</v>
      </c>
      <c r="K39" t="s">
        <v>1333</v>
      </c>
      <c r="L39" t="s">
        <v>1334</v>
      </c>
      <c r="M39" t="s">
        <v>494</v>
      </c>
      <c r="N39" s="7" t="s">
        <v>1335</v>
      </c>
      <c r="O39" s="7" t="s">
        <v>1336</v>
      </c>
      <c r="P39" s="7" t="s">
        <v>1337</v>
      </c>
      <c r="Q39">
        <v>37</v>
      </c>
      <c r="R39">
        <v>0.0043292055</v>
      </c>
      <c r="S39" s="7" t="s">
        <v>1338</v>
      </c>
      <c r="T39">
        <v>0</v>
      </c>
      <c r="U39" s="4">
        <v>95</v>
      </c>
      <c r="V39" s="5" t="str">
        <f>IF(U39&gt;=[1]评分标准!$B$5,[1]评分标准!$A$5,IF(U39&gt;=[1]评分标准!$B$6,[1]评分标准!$A$6,IF(U39&gt;=[1]评分标准!$B$7,[1]评分标准!$A$7,IF(U39&gt;=[1]评分标准!$B$8,[1]评分标准!$A$8,[1]评分标准!$A$9))))</f>
        <v>高度相似</v>
      </c>
      <c r="W39" s="7" t="s">
        <v>1339</v>
      </c>
      <c r="X39" s="7" t="s">
        <v>1340</v>
      </c>
      <c r="Y39">
        <v>1</v>
      </c>
      <c r="Z39" s="7" t="s">
        <v>1341</v>
      </c>
      <c r="AA39" s="7" t="s">
        <v>1342</v>
      </c>
      <c r="AB39">
        <v>1</v>
      </c>
      <c r="AC39" s="7" t="s">
        <v>1343</v>
      </c>
      <c r="AD39" s="7" t="s">
        <v>1344</v>
      </c>
      <c r="AE39">
        <v>1</v>
      </c>
      <c r="AF39" s="7" t="s">
        <v>1345</v>
      </c>
      <c r="AG39" s="7" t="s">
        <v>1346</v>
      </c>
      <c r="AH39">
        <v>1</v>
      </c>
      <c r="AI39" s="7" t="s">
        <v>1347</v>
      </c>
      <c r="AJ39" s="7" t="s">
        <v>1348</v>
      </c>
      <c r="AK39" s="7" t="s">
        <v>1349</v>
      </c>
      <c r="AL39" s="7" t="s">
        <v>1350</v>
      </c>
      <c r="AM39" s="7" t="s">
        <v>1351</v>
      </c>
      <c r="AN39" s="7" t="s">
        <v>1352</v>
      </c>
      <c r="AO39" s="7" t="s">
        <v>1353</v>
      </c>
      <c r="AP39" s="7" t="s">
        <v>1354</v>
      </c>
      <c r="AQ39" s="7" t="s">
        <v>1355</v>
      </c>
      <c r="AR39" s="7" t="s">
        <v>1356</v>
      </c>
      <c r="AS39" s="7" t="s">
        <v>1357</v>
      </c>
      <c r="AT39" s="7" t="s">
        <v>1358</v>
      </c>
    </row>
    <row r="40" ht="16.5" spans="1:46">
      <c r="A40" t="s">
        <v>1359</v>
      </c>
      <c r="B40">
        <v>1</v>
      </c>
      <c r="C40" t="s">
        <v>1360</v>
      </c>
      <c r="D40" t="s">
        <v>1361</v>
      </c>
      <c r="E40" t="s">
        <v>1362</v>
      </c>
      <c r="F40" t="s">
        <v>1220</v>
      </c>
      <c r="G40" t="s">
        <v>1078</v>
      </c>
      <c r="H40" t="s">
        <v>1363</v>
      </c>
      <c r="I40" t="s">
        <v>128</v>
      </c>
      <c r="J40" t="s">
        <v>1362</v>
      </c>
      <c r="K40" t="s">
        <v>1364</v>
      </c>
      <c r="L40" t="s">
        <v>1365</v>
      </c>
      <c r="M40" t="s">
        <v>57</v>
      </c>
      <c r="N40" s="7" t="s">
        <v>1366</v>
      </c>
      <c r="O40" s="7" t="s">
        <v>1367</v>
      </c>
      <c r="P40" s="7" t="s">
        <v>1368</v>
      </c>
      <c r="Q40">
        <v>29</v>
      </c>
      <c r="R40">
        <v>0.00040341282</v>
      </c>
      <c r="S40" s="7" t="s">
        <v>1369</v>
      </c>
      <c r="T40">
        <v>5</v>
      </c>
      <c r="U40" s="2">
        <v>98</v>
      </c>
      <c r="V40" s="3" t="str">
        <f>IF(U40&gt;=[1]评分标准!$B$5,[1]评分标准!$A$5,IF(U40&gt;=[1]评分标准!$B$6,[1]评分标准!$A$6,IF(U40&gt;=[1]评分标准!$B$7,[1]评分标准!$A$7,IF(U40&gt;=[1]评分标准!$B$8,[1]评分标准!$A$8,[1]评分标准!$A$9))))</f>
        <v>高度相似</v>
      </c>
      <c r="W40" s="7" t="s">
        <v>1370</v>
      </c>
      <c r="X40" s="7" t="s">
        <v>1371</v>
      </c>
      <c r="Y40">
        <v>1</v>
      </c>
      <c r="Z40" s="7" t="s">
        <v>1372</v>
      </c>
      <c r="AA40" s="7" t="s">
        <v>1373</v>
      </c>
      <c r="AB40">
        <v>1</v>
      </c>
      <c r="AC40" s="7" t="s">
        <v>1374</v>
      </c>
      <c r="AD40" s="7" t="s">
        <v>1375</v>
      </c>
      <c r="AE40">
        <v>1</v>
      </c>
      <c r="AF40" s="7" t="s">
        <v>1376</v>
      </c>
      <c r="AG40" s="7" t="s">
        <v>1377</v>
      </c>
      <c r="AH40">
        <v>1</v>
      </c>
      <c r="AI40" s="7" t="s">
        <v>1378</v>
      </c>
      <c r="AJ40" s="7" t="s">
        <v>1379</v>
      </c>
      <c r="AK40" s="7" t="s">
        <v>1380</v>
      </c>
      <c r="AL40" s="7" t="s">
        <v>1381</v>
      </c>
      <c r="AM40" s="7" t="s">
        <v>1382</v>
      </c>
      <c r="AN40" s="7" t="s">
        <v>1383</v>
      </c>
      <c r="AO40" s="7" t="s">
        <v>1384</v>
      </c>
      <c r="AP40" s="7" t="s">
        <v>1385</v>
      </c>
      <c r="AQ40" s="7" t="s">
        <v>1386</v>
      </c>
      <c r="AR40" s="7" t="s">
        <v>1387</v>
      </c>
      <c r="AS40" s="7" t="s">
        <v>1388</v>
      </c>
      <c r="AT40" s="7" t="s">
        <v>1389</v>
      </c>
    </row>
    <row r="41" ht="16.5" spans="1:46">
      <c r="A41" t="s">
        <v>1390</v>
      </c>
      <c r="B41">
        <v>1</v>
      </c>
      <c r="C41" t="s">
        <v>1391</v>
      </c>
      <c r="D41" t="s">
        <v>1392</v>
      </c>
      <c r="E41" t="s">
        <v>1393</v>
      </c>
      <c r="F41" t="s">
        <v>1394</v>
      </c>
      <c r="G41" t="s">
        <v>1395</v>
      </c>
      <c r="H41" t="s">
        <v>1396</v>
      </c>
      <c r="I41" t="s">
        <v>1397</v>
      </c>
      <c r="J41" t="s">
        <v>1398</v>
      </c>
      <c r="K41" t="s">
        <v>1399</v>
      </c>
      <c r="L41" t="s">
        <v>1400</v>
      </c>
      <c r="M41" t="s">
        <v>269</v>
      </c>
      <c r="N41" s="7" t="s">
        <v>1401</v>
      </c>
      <c r="O41" s="7" t="s">
        <v>1402</v>
      </c>
      <c r="P41" s="7" t="s">
        <v>1403</v>
      </c>
      <c r="Q41">
        <v>23</v>
      </c>
      <c r="R41">
        <v>0.00025057627</v>
      </c>
      <c r="S41" s="7" t="s">
        <v>1404</v>
      </c>
      <c r="T41">
        <v>3</v>
      </c>
      <c r="U41" s="4">
        <v>95</v>
      </c>
      <c r="V41" s="5" t="str">
        <f>IF(U41&gt;=[1]评分标准!$B$5,[1]评分标准!$A$5,IF(U41&gt;=[1]评分标准!$B$6,[1]评分标准!$A$6,IF(U41&gt;=[1]评分标准!$B$7,[1]评分标准!$A$7,IF(U41&gt;=[1]评分标准!$B$8,[1]评分标准!$A$8,[1]评分标准!$A$9))))</f>
        <v>高度相似</v>
      </c>
      <c r="W41" s="7" t="s">
        <v>1405</v>
      </c>
      <c r="X41" s="7" t="s">
        <v>1406</v>
      </c>
      <c r="Y41">
        <v>1</v>
      </c>
      <c r="Z41" s="7" t="s">
        <v>1407</v>
      </c>
      <c r="AA41" s="7" t="s">
        <v>1408</v>
      </c>
      <c r="AB41">
        <v>1</v>
      </c>
      <c r="AC41" s="7" t="s">
        <v>1409</v>
      </c>
      <c r="AD41" s="7" t="s">
        <v>1410</v>
      </c>
      <c r="AE41">
        <v>1</v>
      </c>
      <c r="AF41" s="7" t="s">
        <v>1411</v>
      </c>
      <c r="AG41" s="7" t="s">
        <v>1412</v>
      </c>
      <c r="AH41">
        <v>1</v>
      </c>
      <c r="AI41" s="7" t="s">
        <v>1413</v>
      </c>
      <c r="AJ41" s="7" t="s">
        <v>1414</v>
      </c>
      <c r="AK41" s="7" t="s">
        <v>1415</v>
      </c>
      <c r="AL41" s="7" t="s">
        <v>1416</v>
      </c>
      <c r="AM41" s="7" t="s">
        <v>1417</v>
      </c>
      <c r="AN41" s="7" t="s">
        <v>1418</v>
      </c>
      <c r="AO41" s="7" t="s">
        <v>1419</v>
      </c>
      <c r="AP41" s="7" t="s">
        <v>1420</v>
      </c>
      <c r="AQ41" s="7" t="s">
        <v>1421</v>
      </c>
      <c r="AR41" s="7" t="s">
        <v>1422</v>
      </c>
      <c r="AS41" s="7" t="s">
        <v>1423</v>
      </c>
      <c r="AT41" s="7" t="s">
        <v>1424</v>
      </c>
    </row>
    <row r="42" ht="16.5" spans="1:46">
      <c r="A42" t="s">
        <v>1425</v>
      </c>
      <c r="B42">
        <v>1</v>
      </c>
      <c r="C42" t="s">
        <v>1426</v>
      </c>
      <c r="D42" t="s">
        <v>1427</v>
      </c>
      <c r="E42" t="s">
        <v>1428</v>
      </c>
      <c r="F42" t="s">
        <v>875</v>
      </c>
      <c r="G42" t="s">
        <v>50</v>
      </c>
      <c r="H42" t="s">
        <v>1429</v>
      </c>
      <c r="I42" t="s">
        <v>128</v>
      </c>
      <c r="J42" t="s">
        <v>1430</v>
      </c>
      <c r="K42" t="s">
        <v>1431</v>
      </c>
      <c r="L42" t="s">
        <v>1432</v>
      </c>
      <c r="M42" t="s">
        <v>376</v>
      </c>
      <c r="N42" s="7" t="s">
        <v>1433</v>
      </c>
      <c r="O42" s="7" t="s">
        <v>1434</v>
      </c>
      <c r="P42" s="7" t="s">
        <v>1435</v>
      </c>
      <c r="Q42">
        <v>31</v>
      </c>
      <c r="R42">
        <v>0.003158157</v>
      </c>
      <c r="S42" s="7" t="s">
        <v>1436</v>
      </c>
      <c r="T42">
        <v>5</v>
      </c>
      <c r="U42" s="2">
        <v>98</v>
      </c>
      <c r="V42" s="3" t="str">
        <f>IF(U42&gt;=[1]评分标准!$B$5,[1]评分标准!$A$5,IF(U42&gt;=[1]评分标准!$B$6,[1]评分标准!$A$6,IF(U42&gt;=[1]评分标准!$B$7,[1]评分标准!$A$7,IF(U42&gt;=[1]评分标准!$B$8,[1]评分标准!$A$8,[1]评分标准!$A$9))))</f>
        <v>高度相似</v>
      </c>
      <c r="W42" s="7" t="s">
        <v>1437</v>
      </c>
      <c r="X42" s="7" t="s">
        <v>1438</v>
      </c>
      <c r="Y42">
        <v>1</v>
      </c>
      <c r="Z42" s="7" t="s">
        <v>1439</v>
      </c>
      <c r="AA42" s="7" t="s">
        <v>1440</v>
      </c>
      <c r="AB42">
        <v>1</v>
      </c>
      <c r="AC42" s="7" t="s">
        <v>1441</v>
      </c>
      <c r="AD42" s="7" t="s">
        <v>1442</v>
      </c>
      <c r="AE42">
        <v>1</v>
      </c>
      <c r="AF42" s="7" t="s">
        <v>1443</v>
      </c>
      <c r="AG42" s="7" t="s">
        <v>1444</v>
      </c>
      <c r="AH42">
        <v>1</v>
      </c>
      <c r="AI42" s="7" t="s">
        <v>1445</v>
      </c>
      <c r="AJ42" s="7" t="s">
        <v>1446</v>
      </c>
      <c r="AK42" s="7" t="s">
        <v>1447</v>
      </c>
      <c r="AL42" s="7" t="s">
        <v>1448</v>
      </c>
      <c r="AM42" s="7" t="s">
        <v>1449</v>
      </c>
      <c r="AN42" s="7" t="s">
        <v>1450</v>
      </c>
      <c r="AO42" s="7" t="s">
        <v>1451</v>
      </c>
      <c r="AP42" s="7" t="s">
        <v>1452</v>
      </c>
      <c r="AQ42" s="7" t="s">
        <v>1453</v>
      </c>
      <c r="AR42" s="7" t="s">
        <v>1454</v>
      </c>
      <c r="AS42" s="7" t="s">
        <v>1455</v>
      </c>
      <c r="AT42" s="7" t="s">
        <v>1456</v>
      </c>
    </row>
    <row r="43" ht="16.5" spans="1:46">
      <c r="A43" t="s">
        <v>1457</v>
      </c>
      <c r="B43">
        <v>1</v>
      </c>
      <c r="C43" t="s">
        <v>1458</v>
      </c>
      <c r="D43" t="s">
        <v>1459</v>
      </c>
      <c r="E43" t="s">
        <v>1460</v>
      </c>
      <c r="F43" t="s">
        <v>1461</v>
      </c>
      <c r="G43" t="s">
        <v>652</v>
      </c>
      <c r="H43" t="s">
        <v>1462</v>
      </c>
      <c r="I43" t="s">
        <v>1463</v>
      </c>
      <c r="J43" t="s">
        <v>1464</v>
      </c>
      <c r="K43" t="s">
        <v>1465</v>
      </c>
      <c r="L43" t="s">
        <v>1466</v>
      </c>
      <c r="M43" t="s">
        <v>779</v>
      </c>
      <c r="N43" s="7" t="s">
        <v>1467</v>
      </c>
      <c r="O43" s="7" t="s">
        <v>1468</v>
      </c>
      <c r="P43" s="7" t="s">
        <v>1469</v>
      </c>
      <c r="Q43">
        <v>28</v>
      </c>
      <c r="R43">
        <v>0.000705563</v>
      </c>
      <c r="S43" s="7" t="s">
        <v>1470</v>
      </c>
      <c r="T43">
        <v>4</v>
      </c>
      <c r="U43" s="4">
        <v>98</v>
      </c>
      <c r="V43" s="5" t="str">
        <f>IF(U43&gt;=[1]评分标准!$B$5,[1]评分标准!$A$5,IF(U43&gt;=[1]评分标准!$B$6,[1]评分标准!$A$6,IF(U43&gt;=[1]评分标准!$B$7,[1]评分标准!$A$7,IF(U43&gt;=[1]评分标准!$B$8,[1]评分标准!$A$8,[1]评分标准!$A$9))))</f>
        <v>高度相似</v>
      </c>
      <c r="W43" s="7" t="s">
        <v>1471</v>
      </c>
      <c r="X43" s="7" t="s">
        <v>1472</v>
      </c>
      <c r="Y43">
        <v>1</v>
      </c>
      <c r="Z43" s="7" t="s">
        <v>1473</v>
      </c>
      <c r="AA43" s="7" t="s">
        <v>1474</v>
      </c>
      <c r="AB43">
        <v>1</v>
      </c>
      <c r="AC43" s="7" t="s">
        <v>1475</v>
      </c>
      <c r="AD43" s="7" t="s">
        <v>1476</v>
      </c>
      <c r="AE43">
        <v>1</v>
      </c>
      <c r="AF43" s="7" t="s">
        <v>1477</v>
      </c>
      <c r="AG43" s="7" t="s">
        <v>1478</v>
      </c>
      <c r="AH43">
        <v>1</v>
      </c>
      <c r="AI43" s="7" t="s">
        <v>1479</v>
      </c>
      <c r="AJ43" s="7" t="s">
        <v>1480</v>
      </c>
      <c r="AK43" s="7" t="s">
        <v>1481</v>
      </c>
      <c r="AL43" s="7" t="s">
        <v>1482</v>
      </c>
      <c r="AM43" s="7" t="s">
        <v>1483</v>
      </c>
      <c r="AN43" s="7" t="s">
        <v>1484</v>
      </c>
      <c r="AO43" s="7" t="s">
        <v>1485</v>
      </c>
      <c r="AP43" s="7" t="s">
        <v>1486</v>
      </c>
      <c r="AQ43" s="7" t="s">
        <v>1487</v>
      </c>
      <c r="AR43" s="7" t="s">
        <v>1488</v>
      </c>
      <c r="AS43" s="7" t="s">
        <v>1489</v>
      </c>
      <c r="AT43" s="7" t="s">
        <v>1490</v>
      </c>
    </row>
    <row r="44" ht="16.5" spans="1:46">
      <c r="A44" t="s">
        <v>1491</v>
      </c>
      <c r="B44">
        <v>1</v>
      </c>
      <c r="C44" t="s">
        <v>1492</v>
      </c>
      <c r="D44" t="s">
        <v>1493</v>
      </c>
      <c r="E44" t="s">
        <v>1494</v>
      </c>
      <c r="F44" t="s">
        <v>805</v>
      </c>
      <c r="G44" t="s">
        <v>652</v>
      </c>
      <c r="H44" t="s">
        <v>1495</v>
      </c>
      <c r="I44" t="s">
        <v>1463</v>
      </c>
      <c r="J44" t="s">
        <v>1496</v>
      </c>
      <c r="K44" t="s">
        <v>1497</v>
      </c>
      <c r="L44" t="s">
        <v>1498</v>
      </c>
      <c r="M44" t="s">
        <v>376</v>
      </c>
      <c r="N44" s="7" t="s">
        <v>1499</v>
      </c>
      <c r="O44" s="7" t="s">
        <v>1500</v>
      </c>
      <c r="P44" s="7" t="s">
        <v>1501</v>
      </c>
      <c r="Q44">
        <v>31</v>
      </c>
      <c r="R44">
        <v>0.00071503763</v>
      </c>
      <c r="S44" s="7" t="s">
        <v>1502</v>
      </c>
      <c r="T44">
        <v>1</v>
      </c>
      <c r="U44" s="2">
        <v>95</v>
      </c>
      <c r="V44" s="3" t="str">
        <f>IF(U44&gt;=[1]评分标准!$B$5,[1]评分标准!$A$5,IF(U44&gt;=[1]评分标准!$B$6,[1]评分标准!$A$6,IF(U44&gt;=[1]评分标准!$B$7,[1]评分标准!$A$7,IF(U44&gt;=[1]评分标准!$B$8,[1]评分标准!$A$8,[1]评分标准!$A$9))))</f>
        <v>高度相似</v>
      </c>
      <c r="W44" s="7" t="s">
        <v>1503</v>
      </c>
      <c r="X44" s="7" t="s">
        <v>1504</v>
      </c>
      <c r="Y44" s="7" t="s">
        <v>1505</v>
      </c>
      <c r="Z44" s="7" t="s">
        <v>1506</v>
      </c>
      <c r="AA44" s="7" t="s">
        <v>1507</v>
      </c>
      <c r="AB44" s="7" t="s">
        <v>1508</v>
      </c>
      <c r="AC44" s="7" t="s">
        <v>1509</v>
      </c>
      <c r="AD44" s="7" t="s">
        <v>1510</v>
      </c>
      <c r="AE44" s="7" t="s">
        <v>1511</v>
      </c>
      <c r="AF44" s="7" t="s">
        <v>1512</v>
      </c>
      <c r="AG44" s="7" t="s">
        <v>1513</v>
      </c>
      <c r="AH44">
        <v>-0.0397916917396828</v>
      </c>
      <c r="AI44" s="7" t="s">
        <v>1514</v>
      </c>
      <c r="AJ44" s="7" t="s">
        <v>1515</v>
      </c>
      <c r="AK44" s="7" t="s">
        <v>1516</v>
      </c>
      <c r="AL44" s="7" t="s">
        <v>1517</v>
      </c>
      <c r="AM44" s="7" t="s">
        <v>1518</v>
      </c>
      <c r="AN44" s="7" t="s">
        <v>1519</v>
      </c>
      <c r="AO44" s="7" t="s">
        <v>1520</v>
      </c>
      <c r="AP44" s="7" t="s">
        <v>1521</v>
      </c>
      <c r="AQ44" s="7" t="s">
        <v>1522</v>
      </c>
      <c r="AR44" s="7" t="s">
        <v>1523</v>
      </c>
      <c r="AS44" s="7" t="s">
        <v>1524</v>
      </c>
      <c r="AT44" s="7" t="s">
        <v>1525</v>
      </c>
    </row>
    <row r="45" ht="16.5" spans="1:46">
      <c r="A45" t="s">
        <v>1526</v>
      </c>
      <c r="B45">
        <v>1</v>
      </c>
      <c r="C45" t="s">
        <v>1527</v>
      </c>
      <c r="D45" t="s">
        <v>1528</v>
      </c>
      <c r="E45" t="s">
        <v>1529</v>
      </c>
      <c r="F45" t="s">
        <v>125</v>
      </c>
      <c r="G45" t="s">
        <v>1530</v>
      </c>
      <c r="H45" t="s">
        <v>1531</v>
      </c>
      <c r="I45" t="s">
        <v>128</v>
      </c>
      <c r="J45" t="s">
        <v>1532</v>
      </c>
      <c r="K45" t="s">
        <v>1533</v>
      </c>
      <c r="L45" t="s">
        <v>1534</v>
      </c>
      <c r="M45" t="s">
        <v>376</v>
      </c>
      <c r="N45" s="7" t="s">
        <v>1535</v>
      </c>
      <c r="O45" s="7" t="s">
        <v>1536</v>
      </c>
      <c r="P45" s="7" t="s">
        <v>1537</v>
      </c>
      <c r="Q45">
        <v>40</v>
      </c>
      <c r="R45">
        <v>0.00013118381</v>
      </c>
      <c r="S45" s="7" t="s">
        <v>1538</v>
      </c>
      <c r="T45">
        <v>1</v>
      </c>
      <c r="U45" s="4">
        <v>82</v>
      </c>
      <c r="V45" s="5" t="str">
        <f>IF(U45&gt;=[1]评分标准!$B$5,[1]评分标准!$A$5,IF(U45&gt;=[1]评分标准!$B$6,[1]评分标准!$A$6,IF(U45&gt;=[1]评分标准!$B$7,[1]评分标准!$A$7,IF(U45&gt;=[1]评分标准!$B$8,[1]评分标准!$A$8,[1]评分标准!$A$9))))</f>
        <v>较高相似</v>
      </c>
      <c r="W45" s="7" t="s">
        <v>1539</v>
      </c>
      <c r="X45" s="7" t="s">
        <v>1540</v>
      </c>
      <c r="Y45">
        <v>1</v>
      </c>
      <c r="Z45" s="7" t="s">
        <v>1541</v>
      </c>
      <c r="AA45" s="7" t="s">
        <v>1542</v>
      </c>
      <c r="AB45">
        <v>1</v>
      </c>
      <c r="AC45" s="7" t="s">
        <v>1543</v>
      </c>
      <c r="AD45" s="7" t="s">
        <v>1544</v>
      </c>
      <c r="AE45">
        <v>1</v>
      </c>
      <c r="AF45" s="7" t="s">
        <v>1545</v>
      </c>
      <c r="AG45" s="7" t="s">
        <v>1546</v>
      </c>
      <c r="AH45">
        <v>1</v>
      </c>
      <c r="AI45" s="7" t="s">
        <v>1547</v>
      </c>
      <c r="AJ45" s="7" t="s">
        <v>1548</v>
      </c>
      <c r="AK45" s="7" t="s">
        <v>1549</v>
      </c>
      <c r="AL45" s="7" t="s">
        <v>1550</v>
      </c>
      <c r="AM45" s="7" t="s">
        <v>1551</v>
      </c>
      <c r="AN45" s="7" t="s">
        <v>1552</v>
      </c>
      <c r="AO45" s="7" t="s">
        <v>1553</v>
      </c>
      <c r="AP45" s="7" t="s">
        <v>1554</v>
      </c>
      <c r="AQ45" s="7" t="s">
        <v>1555</v>
      </c>
      <c r="AR45" s="7" t="s">
        <v>1556</v>
      </c>
      <c r="AS45" s="7" t="s">
        <v>1557</v>
      </c>
      <c r="AT45" s="7" t="s">
        <v>1558</v>
      </c>
    </row>
    <row r="46" ht="16.5" spans="1:46">
      <c r="A46" t="s">
        <v>1559</v>
      </c>
      <c r="B46">
        <v>1</v>
      </c>
      <c r="C46" t="s">
        <v>1560</v>
      </c>
      <c r="D46" t="s">
        <v>1561</v>
      </c>
      <c r="E46" t="s">
        <v>1562</v>
      </c>
      <c r="F46" t="s">
        <v>1563</v>
      </c>
      <c r="G46" t="s">
        <v>1078</v>
      </c>
      <c r="H46" t="s">
        <v>1564</v>
      </c>
      <c r="I46" t="s">
        <v>1046</v>
      </c>
      <c r="J46" t="s">
        <v>1565</v>
      </c>
      <c r="K46" t="s">
        <v>1566</v>
      </c>
      <c r="L46" t="s">
        <v>1567</v>
      </c>
      <c r="M46" t="s">
        <v>494</v>
      </c>
      <c r="N46" s="7" t="s">
        <v>1568</v>
      </c>
      <c r="O46" s="7" t="s">
        <v>1569</v>
      </c>
      <c r="P46" s="7" t="s">
        <v>1570</v>
      </c>
      <c r="Q46">
        <v>37</v>
      </c>
      <c r="R46">
        <v>0.0032056079</v>
      </c>
      <c r="S46" s="7" t="s">
        <v>1571</v>
      </c>
      <c r="T46">
        <v>0</v>
      </c>
      <c r="U46" s="2">
        <v>98</v>
      </c>
      <c r="V46" s="3" t="str">
        <f>IF(U46&gt;=[1]评分标准!$B$5,[1]评分标准!$A$5,IF(U46&gt;=[1]评分标准!$B$6,[1]评分标准!$A$6,IF(U46&gt;=[1]评分标准!$B$7,[1]评分标准!$A$7,IF(U46&gt;=[1]评分标准!$B$8,[1]评分标准!$A$8,[1]评分标准!$A$9))))</f>
        <v>高度相似</v>
      </c>
      <c r="W46" s="7" t="s">
        <v>1572</v>
      </c>
      <c r="X46" s="7" t="s">
        <v>1573</v>
      </c>
      <c r="Y46">
        <v>1</v>
      </c>
      <c r="Z46" s="7" t="s">
        <v>1574</v>
      </c>
      <c r="AA46" s="7" t="s">
        <v>1575</v>
      </c>
      <c r="AB46">
        <v>1</v>
      </c>
      <c r="AC46" s="7" t="s">
        <v>1576</v>
      </c>
      <c r="AD46" s="7" t="s">
        <v>1577</v>
      </c>
      <c r="AE46">
        <v>1</v>
      </c>
      <c r="AF46" s="7" t="s">
        <v>1578</v>
      </c>
      <c r="AG46" s="7" t="s">
        <v>1579</v>
      </c>
      <c r="AH46">
        <v>1</v>
      </c>
      <c r="AI46" s="7" t="s">
        <v>1580</v>
      </c>
      <c r="AJ46" s="7" t="s">
        <v>1581</v>
      </c>
      <c r="AK46" s="7" t="s">
        <v>1582</v>
      </c>
      <c r="AL46" s="7" t="s">
        <v>1583</v>
      </c>
      <c r="AM46" s="7" t="s">
        <v>1584</v>
      </c>
      <c r="AN46" s="7" t="s">
        <v>1585</v>
      </c>
      <c r="AO46" s="7" t="s">
        <v>1586</v>
      </c>
      <c r="AP46" s="7" t="s">
        <v>1587</v>
      </c>
      <c r="AQ46" s="7" t="s">
        <v>1588</v>
      </c>
      <c r="AR46" s="7" t="s">
        <v>1589</v>
      </c>
      <c r="AS46" s="7" t="s">
        <v>1590</v>
      </c>
      <c r="AT46" s="7" t="s">
        <v>1591</v>
      </c>
    </row>
    <row r="47" ht="16.5" spans="1:46">
      <c r="A47" t="s">
        <v>1592</v>
      </c>
      <c r="B47">
        <v>1</v>
      </c>
      <c r="C47" t="s">
        <v>1593</v>
      </c>
      <c r="D47" t="s">
        <v>1594</v>
      </c>
      <c r="E47" t="s">
        <v>1595</v>
      </c>
      <c r="F47" t="s">
        <v>301</v>
      </c>
      <c r="G47" t="s">
        <v>50</v>
      </c>
      <c r="H47" t="s">
        <v>1596</v>
      </c>
      <c r="I47" t="s">
        <v>1153</v>
      </c>
      <c r="J47" t="s">
        <v>1597</v>
      </c>
      <c r="K47" t="s">
        <v>1598</v>
      </c>
      <c r="L47" t="s">
        <v>1599</v>
      </c>
      <c r="M47" t="s">
        <v>494</v>
      </c>
      <c r="N47" s="7" t="s">
        <v>1600</v>
      </c>
      <c r="O47" s="7" t="s">
        <v>1601</v>
      </c>
      <c r="P47" s="7" t="s">
        <v>1602</v>
      </c>
      <c r="Q47">
        <v>38</v>
      </c>
      <c r="R47">
        <v>0.0013931099</v>
      </c>
      <c r="S47" s="7" t="s">
        <v>1603</v>
      </c>
      <c r="T47">
        <v>0</v>
      </c>
      <c r="U47" s="4">
        <v>98</v>
      </c>
      <c r="V47" s="5" t="str">
        <f>IF(U47&gt;=[1]评分标准!$B$5,[1]评分标准!$A$5,IF(U47&gt;=[1]评分标准!$B$6,[1]评分标准!$A$6,IF(U47&gt;=[1]评分标准!$B$7,[1]评分标准!$A$7,IF(U47&gt;=[1]评分标准!$B$8,[1]评分标准!$A$8,[1]评分标准!$A$9))))</f>
        <v>高度相似</v>
      </c>
      <c r="W47" s="7" t="s">
        <v>1604</v>
      </c>
      <c r="X47" s="7" t="s">
        <v>1605</v>
      </c>
      <c r="Y47">
        <v>1</v>
      </c>
      <c r="Z47" s="7" t="s">
        <v>1606</v>
      </c>
      <c r="AA47" s="7" t="s">
        <v>1607</v>
      </c>
      <c r="AB47">
        <v>1</v>
      </c>
      <c r="AC47" s="7" t="s">
        <v>1608</v>
      </c>
      <c r="AD47" s="7" t="s">
        <v>1609</v>
      </c>
      <c r="AE47">
        <v>1</v>
      </c>
      <c r="AF47" s="7" t="s">
        <v>1610</v>
      </c>
      <c r="AG47" s="7" t="s">
        <v>1611</v>
      </c>
      <c r="AH47">
        <v>1</v>
      </c>
      <c r="AI47" s="7" t="s">
        <v>1612</v>
      </c>
      <c r="AJ47" s="7" t="s">
        <v>1613</v>
      </c>
      <c r="AK47" s="7" t="s">
        <v>1614</v>
      </c>
      <c r="AL47" s="7" t="s">
        <v>1615</v>
      </c>
      <c r="AM47" s="7" t="s">
        <v>1616</v>
      </c>
      <c r="AN47" s="7" t="s">
        <v>1617</v>
      </c>
      <c r="AO47" s="7" t="s">
        <v>1618</v>
      </c>
      <c r="AP47" s="7" t="s">
        <v>1619</v>
      </c>
      <c r="AQ47" s="7" t="s">
        <v>1620</v>
      </c>
      <c r="AR47" s="7" t="s">
        <v>1621</v>
      </c>
      <c r="AS47" s="7" t="s">
        <v>1622</v>
      </c>
      <c r="AT47" s="7" t="s">
        <v>1623</v>
      </c>
    </row>
    <row r="48" ht="16.5" spans="1:46">
      <c r="A48" t="s">
        <v>1624</v>
      </c>
      <c r="B48">
        <v>1</v>
      </c>
      <c r="C48" t="s">
        <v>1625</v>
      </c>
      <c r="D48" t="s">
        <v>1626</v>
      </c>
      <c r="E48" t="s">
        <v>1627</v>
      </c>
      <c r="F48" t="s">
        <v>90</v>
      </c>
      <c r="G48" t="s">
        <v>1628</v>
      </c>
      <c r="H48" t="s">
        <v>1629</v>
      </c>
      <c r="I48" t="s">
        <v>128</v>
      </c>
      <c r="J48" t="s">
        <v>1627</v>
      </c>
      <c r="K48" t="s">
        <v>1630</v>
      </c>
      <c r="L48" t="s">
        <v>1631</v>
      </c>
      <c r="M48" t="s">
        <v>57</v>
      </c>
      <c r="N48" s="7" t="s">
        <v>1632</v>
      </c>
      <c r="O48" s="7" t="s">
        <v>1633</v>
      </c>
      <c r="P48" s="7" t="s">
        <v>1634</v>
      </c>
      <c r="Q48">
        <v>29</v>
      </c>
      <c r="R48">
        <v>0.0035725273</v>
      </c>
      <c r="S48" s="7" t="s">
        <v>1635</v>
      </c>
      <c r="T48">
        <v>1</v>
      </c>
      <c r="U48" s="2">
        <v>98</v>
      </c>
      <c r="V48" s="3" t="str">
        <f>IF(U48&gt;=[1]评分标准!$B$5,[1]评分标准!$A$5,IF(U48&gt;=[1]评分标准!$B$6,[1]评分标准!$A$6,IF(U48&gt;=[1]评分标准!$B$7,[1]评分标准!$A$7,IF(U48&gt;=[1]评分标准!$B$8,[1]评分标准!$A$8,[1]评分标准!$A$9))))</f>
        <v>高度相似</v>
      </c>
      <c r="W48" s="7" t="s">
        <v>1636</v>
      </c>
      <c r="X48" s="7" t="s">
        <v>1637</v>
      </c>
      <c r="Y48">
        <v>1</v>
      </c>
      <c r="Z48" s="7" t="s">
        <v>1638</v>
      </c>
      <c r="AA48" s="7" t="s">
        <v>1639</v>
      </c>
      <c r="AB48">
        <v>1</v>
      </c>
      <c r="AC48" s="7" t="s">
        <v>1640</v>
      </c>
      <c r="AD48" s="7" t="s">
        <v>1641</v>
      </c>
      <c r="AE48">
        <v>1</v>
      </c>
      <c r="AF48" s="7" t="s">
        <v>1642</v>
      </c>
      <c r="AG48" s="7" t="s">
        <v>1643</v>
      </c>
      <c r="AH48">
        <v>1</v>
      </c>
      <c r="AI48" s="7" t="s">
        <v>1644</v>
      </c>
      <c r="AJ48" s="7" t="s">
        <v>1645</v>
      </c>
      <c r="AK48" s="7" t="s">
        <v>1646</v>
      </c>
      <c r="AL48" s="7" t="s">
        <v>1647</v>
      </c>
      <c r="AM48" s="7" t="s">
        <v>1648</v>
      </c>
      <c r="AN48" s="7" t="s">
        <v>1649</v>
      </c>
      <c r="AO48" s="7" t="s">
        <v>1650</v>
      </c>
      <c r="AP48" s="7" t="s">
        <v>1651</v>
      </c>
      <c r="AQ48" s="7" t="s">
        <v>1652</v>
      </c>
      <c r="AR48" s="7" t="s">
        <v>1653</v>
      </c>
      <c r="AS48" s="7" t="s">
        <v>1654</v>
      </c>
      <c r="AT48" s="7" t="s">
        <v>1655</v>
      </c>
    </row>
    <row r="49" ht="16.5" spans="1:46">
      <c r="A49" t="s">
        <v>1656</v>
      </c>
      <c r="B49">
        <v>1</v>
      </c>
      <c r="C49" t="s">
        <v>1657</v>
      </c>
      <c r="D49" t="s">
        <v>1658</v>
      </c>
      <c r="E49" t="s">
        <v>1659</v>
      </c>
      <c r="F49" t="s">
        <v>301</v>
      </c>
      <c r="G49" t="s">
        <v>232</v>
      </c>
      <c r="H49" t="s">
        <v>1660</v>
      </c>
      <c r="I49" t="s">
        <v>1661</v>
      </c>
      <c r="J49" t="s">
        <v>1662</v>
      </c>
      <c r="K49" t="s">
        <v>1663</v>
      </c>
      <c r="L49" t="s">
        <v>1664</v>
      </c>
      <c r="M49" t="s">
        <v>494</v>
      </c>
      <c r="N49" s="7" t="s">
        <v>1665</v>
      </c>
      <c r="O49" s="7" t="s">
        <v>1666</v>
      </c>
      <c r="P49" s="7" t="s">
        <v>1667</v>
      </c>
      <c r="Q49">
        <v>38</v>
      </c>
      <c r="R49">
        <v>0.00024911456</v>
      </c>
      <c r="S49" s="7" t="s">
        <v>1668</v>
      </c>
      <c r="T49">
        <v>1</v>
      </c>
      <c r="U49" s="4">
        <v>98</v>
      </c>
      <c r="V49" s="5" t="str">
        <f>IF(U49&gt;=[1]评分标准!$B$5,[1]评分标准!$A$5,IF(U49&gt;=[1]评分标准!$B$6,[1]评分标准!$A$6,IF(U49&gt;=[1]评分标准!$B$7,[1]评分标准!$A$7,IF(U49&gt;=[1]评分标准!$B$8,[1]评分标准!$A$8,[1]评分标准!$A$9))))</f>
        <v>高度相似</v>
      </c>
      <c r="W49" s="7" t="s">
        <v>1669</v>
      </c>
      <c r="X49" s="7" t="s">
        <v>1670</v>
      </c>
      <c r="Y49">
        <v>1</v>
      </c>
      <c r="Z49" s="7" t="s">
        <v>1671</v>
      </c>
      <c r="AA49" s="7" t="s">
        <v>1672</v>
      </c>
      <c r="AB49">
        <v>1</v>
      </c>
      <c r="AC49" s="7" t="s">
        <v>1673</v>
      </c>
      <c r="AD49" s="7" t="s">
        <v>1674</v>
      </c>
      <c r="AE49">
        <v>1</v>
      </c>
      <c r="AF49" s="7" t="s">
        <v>1675</v>
      </c>
      <c r="AG49" s="7" t="s">
        <v>1676</v>
      </c>
      <c r="AH49">
        <v>1</v>
      </c>
      <c r="AI49" s="7" t="s">
        <v>1677</v>
      </c>
      <c r="AJ49" s="7" t="s">
        <v>1678</v>
      </c>
      <c r="AK49" s="7" t="s">
        <v>1679</v>
      </c>
      <c r="AL49" s="7" t="s">
        <v>1680</v>
      </c>
      <c r="AM49" s="7" t="s">
        <v>1681</v>
      </c>
      <c r="AN49" s="7" t="s">
        <v>1682</v>
      </c>
      <c r="AO49" s="7" t="s">
        <v>1683</v>
      </c>
      <c r="AP49" s="7" t="s">
        <v>1684</v>
      </c>
      <c r="AQ49" s="7" t="s">
        <v>1685</v>
      </c>
      <c r="AR49" s="7" t="s">
        <v>1686</v>
      </c>
      <c r="AS49" s="7" t="s">
        <v>1687</v>
      </c>
      <c r="AT49" s="7" t="s">
        <v>1688</v>
      </c>
    </row>
    <row r="50" ht="16.5" spans="1:46">
      <c r="A50" t="s">
        <v>1689</v>
      </c>
      <c r="B50">
        <v>1</v>
      </c>
      <c r="C50" t="s">
        <v>1690</v>
      </c>
      <c r="D50" t="s">
        <v>1691</v>
      </c>
      <c r="E50" t="s">
        <v>1692</v>
      </c>
      <c r="F50" t="s">
        <v>125</v>
      </c>
      <c r="G50" t="s">
        <v>1693</v>
      </c>
      <c r="H50" t="s">
        <v>1694</v>
      </c>
      <c r="I50" t="s">
        <v>128</v>
      </c>
      <c r="J50" t="s">
        <v>1692</v>
      </c>
      <c r="K50" t="s">
        <v>1695</v>
      </c>
      <c r="L50" t="s">
        <v>1696</v>
      </c>
      <c r="M50" t="s">
        <v>528</v>
      </c>
      <c r="N50" s="7" t="s">
        <v>1697</v>
      </c>
      <c r="O50" s="7" t="s">
        <v>1698</v>
      </c>
      <c r="P50" s="7" t="s">
        <v>1699</v>
      </c>
      <c r="Q50">
        <v>34</v>
      </c>
      <c r="R50">
        <v>0.0008665921</v>
      </c>
      <c r="S50" s="7" t="s">
        <v>1700</v>
      </c>
      <c r="T50">
        <v>1</v>
      </c>
      <c r="U50" s="2">
        <v>25</v>
      </c>
      <c r="V50" s="3" t="str">
        <f>IF(U50&gt;=[1]评分标准!$B$5,[1]评分标准!$A$5,IF(U50&gt;=[1]评分标准!$B$6,[1]评分标准!$A$6,IF(U50&gt;=[1]评分标准!$B$7,[1]评分标准!$A$7,IF(U50&gt;=[1]评分标准!$B$8,[1]评分标准!$A$8,[1]评分标准!$A$9))))</f>
        <v>不相似</v>
      </c>
      <c r="W50" s="7" t="s">
        <v>1701</v>
      </c>
      <c r="X50" s="7" t="s">
        <v>1702</v>
      </c>
      <c r="Y50" s="7" t="s">
        <v>1703</v>
      </c>
      <c r="Z50" s="7" t="s">
        <v>1704</v>
      </c>
      <c r="AA50" s="7" t="s">
        <v>1705</v>
      </c>
      <c r="AB50" s="7" t="s">
        <v>1706</v>
      </c>
      <c r="AC50" s="7" t="s">
        <v>1707</v>
      </c>
      <c r="AD50" s="7" t="s">
        <v>1708</v>
      </c>
      <c r="AE50" s="7" t="s">
        <v>1709</v>
      </c>
      <c r="AF50" s="7" t="s">
        <v>1710</v>
      </c>
      <c r="AG50" s="7" t="s">
        <v>1711</v>
      </c>
      <c r="AH50" s="7" t="s">
        <v>1712</v>
      </c>
      <c r="AI50" s="7" t="s">
        <v>1713</v>
      </c>
      <c r="AJ50" s="7" t="s">
        <v>1714</v>
      </c>
      <c r="AK50" s="7" t="s">
        <v>1715</v>
      </c>
      <c r="AL50" s="7" t="s">
        <v>1716</v>
      </c>
      <c r="AM50" s="7" t="s">
        <v>1717</v>
      </c>
      <c r="AN50" s="7" t="s">
        <v>1718</v>
      </c>
      <c r="AO50" s="7" t="s">
        <v>1719</v>
      </c>
      <c r="AP50" s="7" t="s">
        <v>1720</v>
      </c>
      <c r="AQ50" s="7" t="s">
        <v>1721</v>
      </c>
      <c r="AR50" s="7" t="s">
        <v>1722</v>
      </c>
      <c r="AS50" s="7" t="s">
        <v>1723</v>
      </c>
      <c r="AT50" s="7" t="s">
        <v>1724</v>
      </c>
    </row>
    <row r="51" ht="16.5" spans="1:46">
      <c r="A51" t="s">
        <v>1725</v>
      </c>
      <c r="B51">
        <v>1</v>
      </c>
      <c r="C51" t="s">
        <v>1726</v>
      </c>
      <c r="D51" t="s">
        <v>1727</v>
      </c>
      <c r="E51" t="s">
        <v>1728</v>
      </c>
      <c r="F51" t="s">
        <v>652</v>
      </c>
      <c r="G51" t="s">
        <v>1461</v>
      </c>
      <c r="H51" t="s">
        <v>1729</v>
      </c>
      <c r="I51" t="s">
        <v>1730</v>
      </c>
      <c r="J51" t="s">
        <v>1731</v>
      </c>
      <c r="K51" t="s">
        <v>1732</v>
      </c>
      <c r="L51" t="s">
        <v>1733</v>
      </c>
      <c r="M51" t="s">
        <v>528</v>
      </c>
      <c r="N51" s="7" t="s">
        <v>1734</v>
      </c>
      <c r="O51" s="7" t="s">
        <v>1735</v>
      </c>
      <c r="P51" s="7" t="s">
        <v>1736</v>
      </c>
      <c r="Q51">
        <v>38</v>
      </c>
      <c r="R51">
        <v>10.135679</v>
      </c>
      <c r="S51" s="7" t="s">
        <v>1737</v>
      </c>
      <c r="T51">
        <v>6</v>
      </c>
      <c r="U51" s="4">
        <v>20</v>
      </c>
      <c r="V51" s="5" t="str">
        <f>IF(U51&gt;=[1]评分标准!$B$5,[1]评分标准!$A$5,IF(U51&gt;=[1]评分标准!$B$6,[1]评分标准!$A$6,IF(U51&gt;=[1]评分标准!$B$7,[1]评分标准!$A$7,IF(U51&gt;=[1]评分标准!$B$8,[1]评分标准!$A$8,[1]评分标准!$A$9))))</f>
        <v>不相似</v>
      </c>
      <c r="W51" s="7" t="s">
        <v>1738</v>
      </c>
      <c r="X51" s="7" t="s">
        <v>1739</v>
      </c>
      <c r="Y51" s="7" t="s">
        <v>1740</v>
      </c>
      <c r="Z51" s="7" t="s">
        <v>1741</v>
      </c>
      <c r="AA51" s="7" t="s">
        <v>1742</v>
      </c>
      <c r="AB51" s="6">
        <v>-1.09224223971434e+130</v>
      </c>
      <c r="AC51" s="7" t="s">
        <v>566</v>
      </c>
      <c r="AD51" s="7" t="s">
        <v>566</v>
      </c>
      <c r="AE51" s="6">
        <v>-1e+100</v>
      </c>
      <c r="AF51" s="7" t="s">
        <v>1743</v>
      </c>
      <c r="AG51" s="7" t="s">
        <v>1744</v>
      </c>
      <c r="AH51" s="7" t="s">
        <v>1745</v>
      </c>
      <c r="AI51" s="7" t="s">
        <v>1746</v>
      </c>
      <c r="AJ51" s="7" t="s">
        <v>1747</v>
      </c>
      <c r="AK51" s="7" t="s">
        <v>1748</v>
      </c>
      <c r="AL51" s="7" t="s">
        <v>1749</v>
      </c>
      <c r="AM51" s="7" t="s">
        <v>1750</v>
      </c>
      <c r="AN51" s="7" t="s">
        <v>1751</v>
      </c>
      <c r="AO51" s="7" t="s">
        <v>1752</v>
      </c>
      <c r="AP51" s="7" t="s">
        <v>1753</v>
      </c>
      <c r="AQ51" s="7" t="s">
        <v>1754</v>
      </c>
      <c r="AR51" s="7" t="s">
        <v>1755</v>
      </c>
      <c r="AS51" s="7" t="s">
        <v>1756</v>
      </c>
      <c r="AT51" s="7" t="s">
        <v>1757</v>
      </c>
    </row>
    <row r="52" ht="16.5" spans="1:46">
      <c r="A52" t="s">
        <v>1758</v>
      </c>
      <c r="B52">
        <v>1</v>
      </c>
      <c r="C52" t="s">
        <v>1759</v>
      </c>
      <c r="D52" t="s">
        <v>1760</v>
      </c>
      <c r="E52" t="s">
        <v>1761</v>
      </c>
      <c r="F52" t="s">
        <v>875</v>
      </c>
      <c r="G52" t="s">
        <v>125</v>
      </c>
      <c r="H52" t="s">
        <v>1762</v>
      </c>
      <c r="I52" t="s">
        <v>128</v>
      </c>
      <c r="J52" t="s">
        <v>1763</v>
      </c>
      <c r="K52" t="s">
        <v>1764</v>
      </c>
      <c r="L52" t="s">
        <v>1765</v>
      </c>
      <c r="M52" t="s">
        <v>57</v>
      </c>
      <c r="N52" s="7" t="s">
        <v>1766</v>
      </c>
      <c r="O52" s="7" t="s">
        <v>1767</v>
      </c>
      <c r="P52" s="7" t="s">
        <v>1768</v>
      </c>
      <c r="Q52">
        <v>29</v>
      </c>
      <c r="R52">
        <v>0.00015122733</v>
      </c>
      <c r="S52" s="7" t="s">
        <v>1769</v>
      </c>
      <c r="T52">
        <v>5</v>
      </c>
      <c r="U52" s="2">
        <v>90</v>
      </c>
      <c r="V52" s="3" t="str">
        <f>IF(U52&gt;=[1]评分标准!$B$5,[1]评分标准!$A$5,IF(U52&gt;=[1]评分标准!$B$6,[1]评分标准!$A$6,IF(U52&gt;=[1]评分标准!$B$7,[1]评分标准!$A$7,IF(U52&gt;=[1]评分标准!$B$8,[1]评分标准!$A$8,[1]评分标准!$A$9))))</f>
        <v>较高相似</v>
      </c>
      <c r="W52" s="7" t="s">
        <v>1770</v>
      </c>
      <c r="X52" s="7" t="s">
        <v>1771</v>
      </c>
      <c r="Y52" s="7" t="s">
        <v>1772</v>
      </c>
      <c r="Z52" s="7" t="s">
        <v>1773</v>
      </c>
      <c r="AA52" s="7" t="s">
        <v>1774</v>
      </c>
      <c r="AB52" s="7" t="s">
        <v>1775</v>
      </c>
      <c r="AC52" s="7" t="s">
        <v>1776</v>
      </c>
      <c r="AD52" s="7" t="s">
        <v>1777</v>
      </c>
      <c r="AE52" s="7" t="s">
        <v>1778</v>
      </c>
      <c r="AF52" s="7" t="s">
        <v>1779</v>
      </c>
      <c r="AG52" s="7" t="s">
        <v>1780</v>
      </c>
      <c r="AH52" s="7" t="s">
        <v>1781</v>
      </c>
      <c r="AI52" s="7" t="s">
        <v>1782</v>
      </c>
      <c r="AJ52" s="7" t="s">
        <v>1783</v>
      </c>
      <c r="AK52" s="7" t="s">
        <v>1784</v>
      </c>
      <c r="AL52" s="7" t="s">
        <v>1785</v>
      </c>
      <c r="AM52" s="7" t="s">
        <v>1786</v>
      </c>
      <c r="AN52" s="7" t="s">
        <v>1787</v>
      </c>
      <c r="AO52" s="7" t="s">
        <v>1788</v>
      </c>
      <c r="AP52" s="7" t="s">
        <v>1789</v>
      </c>
      <c r="AQ52" s="7" t="s">
        <v>1790</v>
      </c>
      <c r="AR52" s="7" t="s">
        <v>1791</v>
      </c>
      <c r="AS52" s="7" t="s">
        <v>1792</v>
      </c>
      <c r="AT52" s="7" t="s">
        <v>1793</v>
      </c>
    </row>
    <row r="53" ht="16.5" spans="1:46">
      <c r="A53" t="s">
        <v>1794</v>
      </c>
      <c r="B53">
        <v>1</v>
      </c>
      <c r="C53" t="s">
        <v>1795</v>
      </c>
      <c r="D53" t="s">
        <v>1796</v>
      </c>
      <c r="E53" t="s">
        <v>1797</v>
      </c>
      <c r="F53" t="s">
        <v>1798</v>
      </c>
      <c r="G53" t="s">
        <v>1693</v>
      </c>
      <c r="H53" t="s">
        <v>1799</v>
      </c>
      <c r="I53" t="s">
        <v>128</v>
      </c>
      <c r="J53" t="s">
        <v>1797</v>
      </c>
      <c r="K53" t="s">
        <v>1800</v>
      </c>
      <c r="L53" t="s">
        <v>1801</v>
      </c>
      <c r="M53" t="s">
        <v>269</v>
      </c>
      <c r="N53" s="7" t="s">
        <v>1802</v>
      </c>
      <c r="O53" s="7" t="s">
        <v>1803</v>
      </c>
      <c r="P53" s="6">
        <v>-1.77874104334563e-11</v>
      </c>
      <c r="Q53">
        <v>24</v>
      </c>
      <c r="R53" s="7" t="s">
        <v>1804</v>
      </c>
      <c r="S53" s="7" t="s">
        <v>1805</v>
      </c>
      <c r="T53">
        <v>7</v>
      </c>
      <c r="U53" s="4">
        <v>98</v>
      </c>
      <c r="V53" s="5" t="str">
        <f>IF(U53&gt;=[1]评分标准!$B$5,[1]评分标准!$A$5,IF(U53&gt;=[1]评分标准!$B$6,[1]评分标准!$A$6,IF(U53&gt;=[1]评分标准!$B$7,[1]评分标准!$A$7,IF(U53&gt;=[1]评分标准!$B$8,[1]评分标准!$A$8,[1]评分标准!$A$9))))</f>
        <v>高度相似</v>
      </c>
      <c r="W53" s="7" t="s">
        <v>1806</v>
      </c>
      <c r="X53" s="7" t="s">
        <v>1807</v>
      </c>
      <c r="Y53" s="7" t="s">
        <v>1808</v>
      </c>
      <c r="Z53" s="7" t="s">
        <v>1809</v>
      </c>
      <c r="AA53" s="7" t="s">
        <v>1810</v>
      </c>
      <c r="AB53" s="7" t="s">
        <v>1811</v>
      </c>
      <c r="AC53" s="7" t="s">
        <v>566</v>
      </c>
      <c r="AD53" s="7" t="s">
        <v>566</v>
      </c>
      <c r="AE53" s="6">
        <v>-1e+100</v>
      </c>
      <c r="AF53" s="7" t="s">
        <v>1812</v>
      </c>
      <c r="AG53" s="7" t="s">
        <v>1813</v>
      </c>
      <c r="AH53">
        <v>1</v>
      </c>
      <c r="AI53" s="7" t="s">
        <v>1814</v>
      </c>
      <c r="AJ53" s="7" t="s">
        <v>1815</v>
      </c>
      <c r="AK53" s="7" t="s">
        <v>1816</v>
      </c>
      <c r="AL53" s="7" t="s">
        <v>1817</v>
      </c>
      <c r="AM53" s="7" t="s">
        <v>1818</v>
      </c>
      <c r="AN53" s="7" t="s">
        <v>1819</v>
      </c>
      <c r="AO53" s="7" t="s">
        <v>1820</v>
      </c>
      <c r="AP53" s="7" t="s">
        <v>1821</v>
      </c>
      <c r="AQ53" s="7" t="s">
        <v>1822</v>
      </c>
      <c r="AR53" s="7" t="s">
        <v>1823</v>
      </c>
      <c r="AS53" s="7" t="s">
        <v>1824</v>
      </c>
      <c r="AT53" s="7" t="s">
        <v>1825</v>
      </c>
    </row>
    <row r="54" ht="16.5" spans="1:46">
      <c r="A54" t="s">
        <v>1826</v>
      </c>
      <c r="B54">
        <v>1</v>
      </c>
      <c r="C54" t="s">
        <v>1827</v>
      </c>
      <c r="D54" t="s">
        <v>1828</v>
      </c>
      <c r="E54" t="s">
        <v>1829</v>
      </c>
      <c r="F54" t="s">
        <v>125</v>
      </c>
      <c r="G54" t="s">
        <v>1830</v>
      </c>
      <c r="H54" t="s">
        <v>1831</v>
      </c>
      <c r="I54" t="s">
        <v>128</v>
      </c>
      <c r="J54" t="s">
        <v>1832</v>
      </c>
      <c r="K54" t="s">
        <v>1833</v>
      </c>
      <c r="L54" t="s">
        <v>1834</v>
      </c>
      <c r="M54" t="s">
        <v>779</v>
      </c>
      <c r="N54" s="7" t="s">
        <v>1835</v>
      </c>
      <c r="O54" s="7" t="s">
        <v>1836</v>
      </c>
      <c r="P54" s="7" t="s">
        <v>1837</v>
      </c>
      <c r="Q54">
        <v>10</v>
      </c>
      <c r="R54">
        <v>0.00023522996</v>
      </c>
      <c r="S54" s="7" t="s">
        <v>1838</v>
      </c>
      <c r="T54">
        <v>4</v>
      </c>
      <c r="U54" s="2">
        <v>100</v>
      </c>
      <c r="V54" s="3" t="str">
        <f>IF(U54&gt;=[1]评分标准!$B$5,[1]评分标准!$A$5,IF(U54&gt;=[1]评分标准!$B$6,[1]评分标准!$A$6,IF(U54&gt;=[1]评分标准!$B$7,[1]评分标准!$A$7,IF(U54&gt;=[1]评分标准!$B$8,[1]评分标准!$A$8,[1]评分标准!$A$9))))</f>
        <v>高度相似</v>
      </c>
      <c r="W54" s="7" t="s">
        <v>1839</v>
      </c>
      <c r="X54" s="7" t="s">
        <v>1840</v>
      </c>
      <c r="Y54">
        <v>1</v>
      </c>
      <c r="Z54" s="7" t="s">
        <v>1841</v>
      </c>
      <c r="AA54" s="7" t="s">
        <v>1842</v>
      </c>
      <c r="AB54">
        <v>1</v>
      </c>
      <c r="AC54" s="7" t="s">
        <v>566</v>
      </c>
      <c r="AD54" s="7" t="s">
        <v>566</v>
      </c>
      <c r="AE54" s="6">
        <v>-1e+100</v>
      </c>
      <c r="AF54" s="7" t="s">
        <v>1843</v>
      </c>
      <c r="AG54" s="7" t="s">
        <v>1844</v>
      </c>
      <c r="AH54">
        <v>1</v>
      </c>
      <c r="AI54" s="7" t="s">
        <v>1845</v>
      </c>
      <c r="AJ54" s="7" t="s">
        <v>1846</v>
      </c>
      <c r="AK54" s="7" t="s">
        <v>1847</v>
      </c>
      <c r="AL54" s="7" t="s">
        <v>566</v>
      </c>
      <c r="AM54" s="7" t="s">
        <v>566</v>
      </c>
      <c r="AN54" s="6">
        <v>-1e+100</v>
      </c>
      <c r="AO54" s="7" t="s">
        <v>1848</v>
      </c>
      <c r="AP54" s="7" t="s">
        <v>1849</v>
      </c>
      <c r="AQ54" s="7" t="s">
        <v>1850</v>
      </c>
      <c r="AR54" s="7" t="s">
        <v>1851</v>
      </c>
      <c r="AS54" s="7" t="s">
        <v>1852</v>
      </c>
      <c r="AT54" s="7" t="s">
        <v>1853</v>
      </c>
    </row>
    <row r="55" ht="16.5" spans="1:46">
      <c r="A55" t="s">
        <v>1854</v>
      </c>
      <c r="B55">
        <v>1</v>
      </c>
      <c r="C55" t="s">
        <v>1855</v>
      </c>
      <c r="D55" t="s">
        <v>1856</v>
      </c>
      <c r="E55" t="e">
        <f>-LOG(x/(A*COS(omega_d*_xleta.T+phi)))/_xleta.T</f>
        <v>#NAME?</v>
      </c>
      <c r="F55" t="s">
        <v>1857</v>
      </c>
      <c r="G55" t="s">
        <v>1858</v>
      </c>
      <c r="H55" t="s">
        <v>1859</v>
      </c>
      <c r="I55" t="s">
        <v>128</v>
      </c>
      <c r="J55" t="e">
        <f>-LOG(x/(A*COS(omega_d*_xleta.T+phi)))/_xleta.T</f>
        <v>#NAME?</v>
      </c>
      <c r="K55" t="s">
        <v>1860</v>
      </c>
      <c r="L55" t="s">
        <v>1861</v>
      </c>
      <c r="M55" t="s">
        <v>376</v>
      </c>
      <c r="N55" s="7" t="s">
        <v>1862</v>
      </c>
      <c r="O55" s="7" t="s">
        <v>1863</v>
      </c>
      <c r="P55" s="7" t="s">
        <v>1864</v>
      </c>
      <c r="Q55">
        <v>30</v>
      </c>
      <c r="R55" s="7" t="s">
        <v>1865</v>
      </c>
      <c r="S55" s="7" t="s">
        <v>1866</v>
      </c>
      <c r="T55">
        <v>6</v>
      </c>
      <c r="U55" s="4">
        <v>25</v>
      </c>
      <c r="V55" s="5" t="str">
        <f>IF(U55&gt;=[1]评分标准!$B$5,[1]评分标准!$A$5,IF(U55&gt;=[1]评分标准!$B$6,[1]评分标准!$A$6,IF(U55&gt;=[1]评分标准!$B$7,[1]评分标准!$A$7,IF(U55&gt;=[1]评分标准!$B$8,[1]评分标准!$A$8,[1]评分标准!$A$9))))</f>
        <v>不相似</v>
      </c>
      <c r="W55" s="7" t="s">
        <v>1867</v>
      </c>
      <c r="X55" s="7" t="s">
        <v>1868</v>
      </c>
      <c r="Y55" s="7" t="s">
        <v>1869</v>
      </c>
      <c r="Z55" s="7" t="s">
        <v>1870</v>
      </c>
      <c r="AA55" s="7" t="s">
        <v>1871</v>
      </c>
      <c r="AB55" s="7" t="s">
        <v>1872</v>
      </c>
      <c r="AC55" s="7" t="s">
        <v>1873</v>
      </c>
      <c r="AD55" s="7" t="s">
        <v>1874</v>
      </c>
      <c r="AE55" s="7" t="s">
        <v>1875</v>
      </c>
      <c r="AF55" s="7" t="s">
        <v>1876</v>
      </c>
      <c r="AG55" s="7" t="s">
        <v>1877</v>
      </c>
      <c r="AH55" s="7" t="s">
        <v>1878</v>
      </c>
      <c r="AI55" s="7" t="s">
        <v>1879</v>
      </c>
      <c r="AJ55" s="7" t="s">
        <v>1880</v>
      </c>
      <c r="AK55" s="7" t="s">
        <v>1881</v>
      </c>
      <c r="AL55" s="7" t="s">
        <v>1882</v>
      </c>
      <c r="AM55" s="7" t="s">
        <v>1883</v>
      </c>
      <c r="AN55" s="7" t="s">
        <v>1884</v>
      </c>
      <c r="AO55" s="7" t="s">
        <v>1885</v>
      </c>
      <c r="AP55" s="7" t="s">
        <v>1886</v>
      </c>
      <c r="AQ55" s="7" t="s">
        <v>1887</v>
      </c>
      <c r="AR55" s="7" t="s">
        <v>1888</v>
      </c>
      <c r="AS55" s="7" t="s">
        <v>1889</v>
      </c>
      <c r="AT55" s="7" t="s">
        <v>1890</v>
      </c>
    </row>
    <row r="56" ht="16.5" spans="1:46">
      <c r="A56" t="s">
        <v>1891</v>
      </c>
      <c r="B56">
        <v>1</v>
      </c>
      <c r="C56" t="s">
        <v>1892</v>
      </c>
      <c r="D56" t="s">
        <v>1893</v>
      </c>
      <c r="E56" t="s">
        <v>1894</v>
      </c>
      <c r="F56" t="s">
        <v>1895</v>
      </c>
      <c r="G56" t="s">
        <v>1896</v>
      </c>
      <c r="H56" t="s">
        <v>1897</v>
      </c>
      <c r="I56" t="s">
        <v>1898</v>
      </c>
      <c r="J56" t="s">
        <v>1899</v>
      </c>
      <c r="K56" t="s">
        <v>1900</v>
      </c>
      <c r="L56" t="s">
        <v>1901</v>
      </c>
      <c r="M56" t="s">
        <v>376</v>
      </c>
      <c r="N56" s="7" t="s">
        <v>1902</v>
      </c>
      <c r="O56" s="7" t="s">
        <v>1903</v>
      </c>
      <c r="P56" s="7" t="s">
        <v>1904</v>
      </c>
      <c r="Q56">
        <v>23</v>
      </c>
      <c r="R56" s="7" t="s">
        <v>1905</v>
      </c>
      <c r="S56" s="7" t="s">
        <v>1906</v>
      </c>
      <c r="T56">
        <v>7</v>
      </c>
      <c r="U56" s="2">
        <v>65</v>
      </c>
      <c r="V56" s="3" t="str">
        <f>IF(U56&gt;=[1]评分标准!$B$5,[1]评分标准!$A$5,IF(U56&gt;=[1]评分标准!$B$6,[1]评分标准!$A$6,IF(U56&gt;=[1]评分标准!$B$7,[1]评分标准!$A$7,IF(U56&gt;=[1]评分标准!$B$8,[1]评分标准!$A$8,[1]评分标准!$A$9))))</f>
        <v>中等相似</v>
      </c>
      <c r="W56" s="7" t="s">
        <v>1907</v>
      </c>
      <c r="X56" s="7" t="s">
        <v>1908</v>
      </c>
      <c r="Y56" s="7" t="s">
        <v>1909</v>
      </c>
      <c r="Z56" s="7" t="s">
        <v>1910</v>
      </c>
      <c r="AA56" s="7" t="s">
        <v>1911</v>
      </c>
      <c r="AB56" s="7" t="s">
        <v>1912</v>
      </c>
      <c r="AC56" s="7" t="s">
        <v>1913</v>
      </c>
      <c r="AD56" s="7" t="s">
        <v>1914</v>
      </c>
      <c r="AE56" s="7" t="s">
        <v>1915</v>
      </c>
      <c r="AF56" s="7" t="s">
        <v>1916</v>
      </c>
      <c r="AG56" s="7" t="s">
        <v>1917</v>
      </c>
      <c r="AH56" s="7" t="s">
        <v>1918</v>
      </c>
      <c r="AI56" s="7" t="s">
        <v>1919</v>
      </c>
      <c r="AJ56" s="7" t="s">
        <v>1920</v>
      </c>
      <c r="AK56" s="7" t="s">
        <v>1921</v>
      </c>
      <c r="AL56" s="7" t="s">
        <v>1922</v>
      </c>
      <c r="AM56" s="7" t="s">
        <v>1923</v>
      </c>
      <c r="AN56" s="7" t="s">
        <v>1924</v>
      </c>
      <c r="AO56" s="7" t="s">
        <v>1925</v>
      </c>
      <c r="AP56" s="7" t="s">
        <v>1926</v>
      </c>
      <c r="AQ56" s="7" t="s">
        <v>1927</v>
      </c>
      <c r="AR56" s="7" t="s">
        <v>1928</v>
      </c>
      <c r="AS56" s="7" t="s">
        <v>1929</v>
      </c>
      <c r="AT56" s="7" t="s">
        <v>1930</v>
      </c>
    </row>
    <row r="57" ht="16.5" spans="1:46">
      <c r="A57" t="s">
        <v>1931</v>
      </c>
      <c r="B57">
        <v>1</v>
      </c>
      <c r="C57" t="s">
        <v>1932</v>
      </c>
      <c r="D57" t="s">
        <v>1933</v>
      </c>
      <c r="E57" t="s">
        <v>1934</v>
      </c>
      <c r="F57" t="s">
        <v>1935</v>
      </c>
      <c r="G57" t="s">
        <v>1936</v>
      </c>
      <c r="H57" t="s">
        <v>1937</v>
      </c>
      <c r="I57" t="s">
        <v>1397</v>
      </c>
      <c r="J57" t="s">
        <v>1938</v>
      </c>
      <c r="K57" t="s">
        <v>1939</v>
      </c>
      <c r="L57" t="s">
        <v>1940</v>
      </c>
      <c r="M57" t="s">
        <v>376</v>
      </c>
      <c r="N57" s="7" t="s">
        <v>1941</v>
      </c>
      <c r="O57" s="7" t="s">
        <v>1942</v>
      </c>
      <c r="P57" s="7" t="s">
        <v>1943</v>
      </c>
      <c r="Q57">
        <v>21</v>
      </c>
      <c r="R57">
        <v>0.0036234788</v>
      </c>
      <c r="S57" s="7" t="s">
        <v>1944</v>
      </c>
      <c r="T57">
        <v>0</v>
      </c>
      <c r="U57" s="4">
        <v>55</v>
      </c>
      <c r="V57" s="5" t="str">
        <f>IF(U57&gt;=[1]评分标准!$B$5,[1]评分标准!$A$5,IF(U57&gt;=[1]评分标准!$B$6,[1]评分标准!$A$6,IF(U57&gt;=[1]评分标准!$B$7,[1]评分标准!$A$7,IF(U57&gt;=[1]评分标准!$B$8,[1]评分标准!$A$8,[1]评分标准!$A$9))))</f>
        <v>较低相似</v>
      </c>
      <c r="W57" s="7" t="s">
        <v>1945</v>
      </c>
      <c r="X57" s="7" t="s">
        <v>1946</v>
      </c>
      <c r="Y57" s="7" t="s">
        <v>1947</v>
      </c>
      <c r="Z57" s="7" t="s">
        <v>1948</v>
      </c>
      <c r="AA57" s="7" t="s">
        <v>1949</v>
      </c>
      <c r="AB57" s="7" t="s">
        <v>1950</v>
      </c>
      <c r="AC57" s="7" t="s">
        <v>1951</v>
      </c>
      <c r="AD57" s="7" t="s">
        <v>1952</v>
      </c>
      <c r="AE57" s="7" t="s">
        <v>1953</v>
      </c>
      <c r="AF57" s="7" t="s">
        <v>1954</v>
      </c>
      <c r="AG57" s="7" t="s">
        <v>1955</v>
      </c>
      <c r="AH57" s="7" t="s">
        <v>1956</v>
      </c>
      <c r="AI57" s="7" t="s">
        <v>1957</v>
      </c>
      <c r="AJ57" s="7" t="s">
        <v>1958</v>
      </c>
      <c r="AK57" s="7" t="s">
        <v>1959</v>
      </c>
      <c r="AL57" s="7" t="s">
        <v>1960</v>
      </c>
      <c r="AM57" s="7" t="s">
        <v>1961</v>
      </c>
      <c r="AN57" s="7" t="s">
        <v>1962</v>
      </c>
      <c r="AO57" s="7" t="s">
        <v>1963</v>
      </c>
      <c r="AP57" s="7" t="s">
        <v>1964</v>
      </c>
      <c r="AQ57" s="7" t="s">
        <v>1965</v>
      </c>
      <c r="AR57" s="7" t="s">
        <v>1966</v>
      </c>
      <c r="AS57" s="7" t="s">
        <v>1967</v>
      </c>
      <c r="AT57" s="7" t="s">
        <v>1968</v>
      </c>
    </row>
    <row r="59" spans="1:46">
      <c r="B59" t="s">
        <v>1969</v>
      </c>
      <c r="C59">
        <v>43</v>
      </c>
    </row>
    <row r="60" spans="1:46">
      <c r="B60" t="s">
        <v>1970</v>
      </c>
      <c r="C60" t="s">
        <v>1971</v>
      </c>
    </row>
    <row r="61" spans="1:46">
      <c r="B61" t="s">
        <v>1972</v>
      </c>
      <c r="C61" t="s">
        <v>1973</v>
      </c>
    </row>
  </sheetData>
  <conditionalFormatting sqref="U2:V57">
    <cfRule type="expression" dxfId="0" priority="1">
      <formula>$C2="高度相似"</formula>
    </cfRule>
    <cfRule type="expression" dxfId="1" priority="2">
      <formula>$C2="较高相似"</formula>
    </cfRule>
    <cfRule type="expression" dxfId="2" priority="3">
      <formula>$C2="中等相似"</formula>
    </cfRule>
    <cfRule type="expression" dxfId="3" priority="4">
      <formula>$C2="较低相似"</formula>
    </cfRule>
    <cfRule type="expression" dxfId="4" priority="5">
      <formula>$C2="不相似"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physics_datset_MDSR_top1_shared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都</cp:lastModifiedBy>
  <dcterms:created xsi:type="dcterms:W3CDTF">2026-08-28T04:01:00Z</dcterms:created>
  <dcterms:modified xsi:type="dcterms:W3CDTF">2026-08-28T07:58:33Z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F79C90C089BE4A7D9BF8DF0F18495717_13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