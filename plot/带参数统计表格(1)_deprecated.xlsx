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<sst xmlns="http://schemas.openxmlformats.org/spreadsheetml/2006/main" count="4221" uniqueCount="1685">
  <si>
    <t>ID</t>
  </si>
  <si>
    <t>TopRank</t>
  </si>
  <si>
    <t>ModelName</t>
  </si>
  <si>
    <t>OriginalFormula</t>
  </si>
  <si>
    <t>GenerationFormula</t>
  </si>
  <si>
    <t>Target</t>
  </si>
  <si>
    <t>IndependentVars</t>
  </si>
  <si>
    <t>ParameterRange</t>
  </si>
  <si>
    <t>FixedConstantValues</t>
  </si>
  <si>
    <t>simpFormula</t>
  </si>
  <si>
    <t>para_eq</t>
  </si>
  <si>
    <t>orgpara_list</t>
  </si>
  <si>
    <t>para_list</t>
  </si>
  <si>
    <t>shared_fit_mse_0_7</t>
  </si>
  <si>
    <t>shared_fit_mse_hmean_0_7</t>
  </si>
  <si>
    <t>shared_fit_r2_0_7</t>
  </si>
  <si>
    <t>complexity</t>
  </si>
  <si>
    <t>loss</t>
  </si>
  <si>
    <t>score</t>
  </si>
  <si>
    <t>dataset</t>
  </si>
  <si>
    <t>fromdataset</t>
  </si>
  <si>
    <t>WASS_0_MSE</t>
  </si>
  <si>
    <t>WASS_0_R2</t>
  </si>
  <si>
    <t>WASS_025_MSE</t>
  </si>
  <si>
    <t>WASS_025_R2</t>
  </si>
  <si>
    <t>WASS_04_MSE</t>
  </si>
  <si>
    <t>WASS_04_R2</t>
  </si>
  <si>
    <t>structure_similarity_score</t>
  </si>
  <si>
    <t>structure_similarity_level</t>
  </si>
  <si>
    <t>structure_rank_in_ID</t>
  </si>
  <si>
    <t>noise_001_MSE</t>
  </si>
  <si>
    <t>noise_001_NMSE</t>
  </si>
  <si>
    <t>noise_001_R2</t>
  </si>
  <si>
    <t>noise_003_MSE</t>
  </si>
  <si>
    <t>noise_003_NMSE</t>
  </si>
  <si>
    <t>noise_003_R2</t>
  </si>
  <si>
    <t>noise_005_MSE</t>
  </si>
  <si>
    <t>noise_005_NMSE</t>
  </si>
  <si>
    <t>noise_005_R2</t>
  </si>
  <si>
    <t>noise_01_MSE</t>
  </si>
  <si>
    <t>noise_01_NMSE</t>
  </si>
  <si>
    <t>noise_01_R2</t>
  </si>
  <si>
    <t>P01</t>
  </si>
  <si>
    <t>I.48.2_1_0</t>
  </si>
  <si>
    <t>E_n = m*c**2/sqrt(1-v**2/c**2)</t>
  </si>
  <si>
    <t>c*sqrt(1 - c**4*m**2/E_n**2)</t>
  </si>
  <si>
    <t>v</t>
  </si>
  <si>
    <t>E_n</t>
  </si>
  <si>
    <t>m=[1, 5]</t>
  </si>
  <si>
    <t>c=6.5</t>
  </si>
  <si>
    <t>6.5*sqrt(1 - 1785.0625*m**2/E_n**2)</t>
  </si>
  <si>
    <t>p0 + p1*(E_n**p3*p2*sin(E_n*p5 + p4))**p3</t>
  </si>
  <si>
    <t>[0.0264504960000000, 0.813096710115101, -1, 1/2, -0.0338046630000000, 0.0623527384200365]</t>
  </si>
  <si>
    <t>[p0, p1, p2, p3, p4, p5]</t>
  </si>
  <si>
    <t>3.2680229665508395e-11</t>
  </si>
  <si>
    <t>3.267544409409019e-11</t>
  </si>
  <si>
    <t>0.9999999995860124</t>
  </si>
  <si>
    <t>1.6362203e-06</t>
  </si>
  <si>
    <t>0.3609079607800194</t>
  </si>
  <si>
    <t>[6]</t>
  </si>
  <si>
    <t>3.711968209903877e-06</t>
  </si>
  <si>
    <t>0.9999544112627511</t>
  </si>
  <si>
    <t>0.010235232287816576</t>
  </si>
  <si>
    <t>0.8743671749341746</t>
  </si>
  <si>
    <t>5.3380671728551455e-06</t>
  </si>
  <si>
    <t>0.9999328418956774</t>
  </si>
  <si>
    <t>较低相似</t>
  </si>
  <si>
    <t>3.786578596608749e-06</t>
  </si>
  <si>
    <t>4.558873515022742e-05</t>
  </si>
  <si>
    <t>0.9999544112648497</t>
  </si>
  <si>
    <t>3.938024780501306e-06</t>
  </si>
  <si>
    <t>4.558871069941959e-05</t>
  </si>
  <si>
    <t>0.9999544112893006</t>
  </si>
  <si>
    <t>3.292628615424864e-06</t>
  </si>
  <si>
    <t>3.6678999717184534e-05</t>
  </si>
  <si>
    <t>0.9999633210002828</t>
  </si>
  <si>
    <t>3.982027395528134e-11</t>
  </si>
  <si>
    <t>4.1219044831997197e-10</t>
  </si>
  <si>
    <t>0.9999999995878095</t>
  </si>
  <si>
    <t>P02</t>
  </si>
  <si>
    <t>III.15.14_1_0</t>
  </si>
  <si>
    <t>m = (h/(2*pi))**2/(2*E_n*d**2)</t>
  </si>
  <si>
    <t>h**2/(8*pi**2*d**2*m)</t>
  </si>
  <si>
    <t>d</t>
  </si>
  <si>
    <t>m=[0.02, 0.08]</t>
  </si>
  <si>
    <t>h=3; pi=3.14159</t>
  </si>
  <si>
    <t>0.113986524158145/(d**2*m)</t>
  </si>
  <si>
    <t>d**p1*p0</t>
  </si>
  <si>
    <t>[3.14239840000000, -2]</t>
  </si>
  <si>
    <t>[p0, p1]</t>
  </si>
  <si>
    <t>1.2835079131447684e-23</t>
  </si>
  <si>
    <t>9.128732919184392e-24</t>
  </si>
  <si>
    <t>4.925349e-15</t>
  </si>
  <si>
    <t>15.308121391205445</t>
  </si>
  <si>
    <t>[0, 2, 3, 4, 5, 6, 7]</t>
  </si>
  <si>
    <t>1.950457228249459e-23</t>
  </si>
  <si>
    <t>2.6301390078144674e-25</t>
  </si>
  <si>
    <t>1.2104603818549815e-25</t>
  </si>
  <si>
    <t>高度相似</t>
  </si>
  <si>
    <t>1.873877706736082e-23</t>
  </si>
  <si>
    <t>5.853421488768357e-23</t>
  </si>
  <si>
    <t>2.0996745319516873e-23</t>
  </si>
  <si>
    <t>6.111879788212059e-23</t>
  </si>
  <si>
    <t>1.6028277861555748e-23</t>
  </si>
  <si>
    <t>4.768195923507193e-23</t>
  </si>
  <si>
    <t>1.6122283169043874e-23</t>
  </si>
  <si>
    <t>4.426366163090126e-23</t>
  </si>
  <si>
    <t>P03</t>
  </si>
  <si>
    <t>I.24.6_3_1</t>
  </si>
  <si>
    <t>E_n = 1/2*m*(omega**2+omega_0**2)*1/2*x**2</t>
  </si>
  <si>
    <t>2*sqrt(E_n/(m*(omega**2 + omega_0**2)))</t>
  </si>
  <si>
    <t>x</t>
  </si>
  <si>
    <t>E_n, omega</t>
  </si>
  <si>
    <t>m=[1, 3]; omega_0=[1, 3]</t>
  </si>
  <si>
    <t>(none)</t>
  </si>
  <si>
    <t>p0*(E_n*(omega**p2 + p1)**p3)**p4</t>
  </si>
  <si>
    <t>[0.665349922972867, 1, 2, -1/2, 1/2]</t>
  </si>
  <si>
    <t>[p0, p1, p2, p3, p4]</t>
  </si>
  <si>
    <t>1.2777255711235449e-23</t>
  </si>
  <si>
    <t>1.268150159710544e-23</t>
  </si>
  <si>
    <t>1.3533703459865245</t>
  </si>
  <si>
    <t>[0, 1, 2, 6, 7]</t>
  </si>
  <si>
    <t>1.3551191347203295e-23</t>
  </si>
  <si>
    <t>1.1997354541205295e-23</t>
  </si>
  <si>
    <t>1.150874383019431e-23</t>
  </si>
  <si>
    <t>1.3801288159632474e-23</t>
  </si>
  <si>
    <t>1.6783065961482447e-23</t>
  </si>
  <si>
    <t>1.4355315505676423e-23</t>
  </si>
  <si>
    <t>1.6784839392198942e-23</t>
  </si>
  <si>
    <t>1.4950584166800888e-23</t>
  </si>
  <si>
    <t>1.6826809343958006e-23</t>
  </si>
  <si>
    <t>1.636209700845997e-23</t>
  </si>
  <si>
    <t>1.6776623410251127e-23</t>
  </si>
  <si>
    <t>P04</t>
  </si>
  <si>
    <t>I.32.5_1_1</t>
  </si>
  <si>
    <t>Pwr = q**2*a**2/(6*pi*epsilon*c**3)</t>
  </si>
  <si>
    <t>sqrt(6)*sqrt(pi)*sqrt(Pwr*c**3*epsilon)/q</t>
  </si>
  <si>
    <t>a</t>
  </si>
  <si>
    <t>Pwr</t>
  </si>
  <si>
    <t>q=[1, 5]</t>
  </si>
  <si>
    <t>c=3; epsilon=3; pi=3.14159</t>
  </si>
  <si>
    <t>15.9520779210735*sqrt(6)*sqrt(Pwr)/q</t>
  </si>
  <si>
    <t>Pwr**p1*p0*tanh(pi)</t>
  </si>
  <si>
    <t>[23.7183230000000, 1/2]</t>
  </si>
  <si>
    <t>1.383726226827955e-23</t>
  </si>
  <si>
    <t>1.324590752602438e-23</t>
  </si>
  <si>
    <t>3.7567815e-14</t>
  </si>
  <si>
    <t>0.0561906149891784</t>
  </si>
  <si>
    <t>[2]</t>
  </si>
  <si>
    <t>1.3748464887217846e-23</t>
  </si>
  <si>
    <t>1.3262102754983864e-23</t>
  </si>
  <si>
    <t>1.342501944548794e-23</t>
  </si>
  <si>
    <t>1.402481314372953e-23</t>
  </si>
  <si>
    <t>1.2106427997702531e-23</t>
  </si>
  <si>
    <t>1.458575508676926e-23</t>
  </si>
  <si>
    <t>1.2106431668085723e-23</t>
  </si>
  <si>
    <t>1.5157670442765054e-23</t>
  </si>
  <si>
    <t>1.2106414502720853e-23</t>
  </si>
  <si>
    <t>1.6635627161255888e-23</t>
  </si>
  <si>
    <t>1.2106413206567784e-23</t>
  </si>
  <si>
    <t>P05</t>
  </si>
  <si>
    <t>II.27.18_1_0</t>
  </si>
  <si>
    <t>E_den = epsilon*Ef**2</t>
  </si>
  <si>
    <t>sqrt(E_den/epsilon)</t>
  </si>
  <si>
    <t>Ef</t>
  </si>
  <si>
    <t>E_den</t>
  </si>
  <si>
    <t>epsilon=[1, 5]</t>
  </si>
  <si>
    <t>log(E_den)</t>
  </si>
  <si>
    <t>[]</t>
  </si>
  <si>
    <t>0.2478614672833809</t>
  </si>
  <si>
    <t>0.2326393407655284</t>
  </si>
  <si>
    <t>0.7798366235107959</t>
  </si>
  <si>
    <t>0.8808764771408589</t>
  </si>
  <si>
    <t>[2, 3, 4, 5, 6, 7]</t>
  </si>
  <si>
    <t>0.24981060049104203</t>
  </si>
  <si>
    <t>0.7796709378477513</t>
  </si>
  <si>
    <t>0.24456505832156564</t>
  </si>
  <si>
    <t>0.7846241535186167</t>
  </si>
  <si>
    <t>0.24877788913463222</t>
  </si>
  <si>
    <t>0.7810719774779494</t>
  </si>
  <si>
    <t>0.25587622692613526</t>
  </si>
  <si>
    <t>0.22134735747367879</t>
  </si>
  <si>
    <t>0.7786526425263213</t>
  </si>
  <si>
    <t>0.2758191234669981</t>
  </si>
  <si>
    <t>0.22962912005857913</t>
  </si>
  <si>
    <t>0.7703708799414208</t>
  </si>
  <si>
    <t>0.30617754490209603</t>
  </si>
  <si>
    <t>0.24544859910384265</t>
  </si>
  <si>
    <t>0.7545514008961574</t>
  </si>
  <si>
    <t>0.4276415199021194</t>
  </si>
  <si>
    <t>0.31259333032060393</t>
  </si>
  <si>
    <t>0.6874066696793961</t>
  </si>
  <si>
    <t>P06</t>
  </si>
  <si>
    <t>II.24.17_0_1</t>
  </si>
  <si>
    <t>k = sqrt(omega**2/c**2-pi**2/d**2)</t>
  </si>
  <si>
    <t>c*sqrt(d**2*k**2 + pi**2)/d</t>
  </si>
  <si>
    <t>omega</t>
  </si>
  <si>
    <t>k</t>
  </si>
  <si>
    <t>d=[2, 4]</t>
  </si>
  <si>
    <t>c=1.5; pi=3.14159</t>
  </si>
  <si>
    <t>1.5*sqrt(d**2*k**2 + 9.8695877281)/d</t>
  </si>
  <si>
    <t>(k**p2*p1 + p0)**p3</t>
  </si>
  <si>
    <t>[3.43638412267754, 2.24990920000000, 2, 1/2]</t>
  </si>
  <si>
    <t>[p0, p1, p2, p3]</t>
  </si>
  <si>
    <t>2.489702408658014e-23</t>
  </si>
  <si>
    <t>2.487891106828516e-23</t>
  </si>
  <si>
    <t>8.9184143e-10</t>
  </si>
  <si>
    <t>0.0020716115472498</t>
  </si>
  <si>
    <t>[4, 5, 6, 7]</t>
  </si>
  <si>
    <t>2.507665671905316e-23</t>
  </si>
  <si>
    <t>2.5316902172705902e-23</t>
  </si>
  <si>
    <t>2.5387634871040804e-23</t>
  </si>
  <si>
    <t>2.5580747446190396e-23</t>
  </si>
  <si>
    <t>7.486449540990587e-23</t>
  </si>
  <si>
    <t>2.6603865024087253e-23</t>
  </si>
  <si>
    <t>7.486446270394294e-23</t>
  </si>
  <si>
    <t>2.764703644230921e-23</t>
  </si>
  <si>
    <t>7.486440991782561e-23</t>
  </si>
  <si>
    <t>3.0342800338713115e-23</t>
  </si>
  <si>
    <t>7.486446284014067e-23</t>
  </si>
  <si>
    <t>P07</t>
  </si>
  <si>
    <t>II.15.4_1_0</t>
  </si>
  <si>
    <t>E_n = -mom*B*cos(theta)</t>
  </si>
  <si>
    <t>B</t>
  </si>
  <si>
    <t>E_n, theta</t>
  </si>
  <si>
    <t>mom=[1, 5]</t>
  </si>
  <si>
    <t>E_n*p2*cos(theta)**p3 + p0 + p1</t>
  </si>
  <si>
    <t>[0.154668290000000, -0.154668320000000, -0.278427500000000, -1]</t>
  </si>
  <si>
    <t>5.534398594365494e-22</t>
  </si>
  <si>
    <t>5.53238282718718e-22</t>
  </si>
  <si>
    <t>1.1979466e-13</t>
  </si>
  <si>
    <t>0.0007941873324867</t>
  </si>
  <si>
    <t>1.8197023288083962e-21</t>
  </si>
  <si>
    <t>1.817591977261532e-21</t>
  </si>
  <si>
    <t>1.8257816869892162e-21</t>
  </si>
  <si>
    <t>较高相似</t>
  </si>
  <si>
    <t>1.8562764105741443e-21</t>
  </si>
  <si>
    <t>3.368700043680893e-22</t>
  </si>
  <si>
    <t>1.9305178133925372e-21</t>
  </si>
  <si>
    <t>3.3686957805270286e-22</t>
  </si>
  <si>
    <t>2.0062107754197953e-21</t>
  </si>
  <si>
    <t>3.3686849326433894e-22</t>
  </si>
  <si>
    <t>2.201868860136332e-21</t>
  </si>
  <si>
    <t>3.3687480943605897e-22</t>
  </si>
  <si>
    <t>P08</t>
  </si>
  <si>
    <t>III.10.19_1_1</t>
  </si>
  <si>
    <t>E_n = mom*sqrt(Bx**2+By**2+Bz**2)</t>
  </si>
  <si>
    <t>sqrt(-By**2 - Bz**2 + E_n**2/mom**2)</t>
  </si>
  <si>
    <t>Bx</t>
  </si>
  <si>
    <t>E_n, By, Bz</t>
  </si>
  <si>
    <t>(By*p4 + Bz*p4 + E_n*p0 + p1*sin(E_n**p2) + p3*cos(By) + p4*atan(Bz**p6*p5*cos(Bz)))**p7</t>
  </si>
  <si>
    <t>[0.504604319187600, 1.16277750000000, 1/2, -0.435417523071300, -1.16277750000000, 0.857437600000000, -1, 0.914254400000000]</t>
  </si>
  <si>
    <t>[p0, p1, p2, p3, p4, p5, p6, p7]</t>
  </si>
  <si>
    <t>0.0193481555997444</t>
  </si>
  <si>
    <t>0.0060687991239668</t>
  </si>
  <si>
    <t>0.9836819488189464</t>
  </si>
  <si>
    <t>0.0148732766196001</t>
  </si>
  <si>
    <t>[0]</t>
  </si>
  <si>
    <t>0.040990775127315054</t>
  </si>
  <si>
    <t>0.9886059167831927</t>
  </si>
  <si>
    <t>0.024662690157178774</t>
  </si>
  <si>
    <t>0.9931457981748566</t>
  </si>
  <si>
    <t>0.032020264776198314</t>
  </si>
  <si>
    <t>0.9911062060774856</t>
  </si>
  <si>
    <t>0.04881289924437202</t>
  </si>
  <si>
    <t>0.013327413085799596</t>
  </si>
  <si>
    <t>0.9866725869142003</t>
  </si>
  <si>
    <t>0.04008418000807158</t>
  </si>
  <si>
    <t>0.010510178489973432</t>
  </si>
  <si>
    <t>0.9894898215100265</t>
  </si>
  <si>
    <t>0.0679505447248808</t>
  </si>
  <si>
    <t>0.017136566290524957</t>
  </si>
  <si>
    <t>0.982863433709475</t>
  </si>
  <si>
    <t>0.05369220019100213</t>
  </si>
  <si>
    <t>0.012348881010446603</t>
  </si>
  <si>
    <t>0.9876511189895534</t>
  </si>
  <si>
    <t>P09</t>
  </si>
  <si>
    <t>II.34.2_1_0</t>
  </si>
  <si>
    <t>mom = q*v*r/2</t>
  </si>
  <si>
    <t>2*mom/(q*r)</t>
  </si>
  <si>
    <t>r</t>
  </si>
  <si>
    <t>mom=[2, 8]</t>
  </si>
  <si>
    <t>q=3</t>
  </si>
  <si>
    <t>2*mom/(3*r)</t>
  </si>
  <si>
    <t>p0*r**p1</t>
  </si>
  <si>
    <t>[2.41824900000000, -1]</t>
  </si>
  <si>
    <t>1.690994414774258e-23</t>
  </si>
  <si>
    <t>1.378523104236865e-23</t>
  </si>
  <si>
    <t>2.2012614e-15</t>
  </si>
  <si>
    <t>16.107565121651835</t>
  </si>
  <si>
    <t>[1, 2, 3, 4, 7]</t>
  </si>
  <si>
    <t>1.6924885359389614e-23</t>
  </si>
  <si>
    <t>1.819904131394905e-23</t>
  </si>
  <si>
    <t>1.9066723705077532e-23</t>
  </si>
  <si>
    <t>1.7694293358687892e-23</t>
  </si>
  <si>
    <t>3.0464526218599885e-23</t>
  </si>
  <si>
    <t>2.1811672934784447e-23</t>
  </si>
  <si>
    <t>4.4360188539600856e-23</t>
  </si>
  <si>
    <t>1.8659676953841742e-23</t>
  </si>
  <si>
    <t>2.864527492021948e-23</t>
  </si>
  <si>
    <t>2.047910013283035e-23</t>
  </si>
  <si>
    <t>2.864527911752331e-23</t>
  </si>
  <si>
    <t>P10</t>
  </si>
  <si>
    <t>I.32.17_2_0</t>
  </si>
  <si>
    <t>Pwr = (1/2*epsilon*c*Ef**2)*(8*pi*r**2/3)*(omega**4/(omega**2-omega_0**2)**2)</t>
  </si>
  <si>
    <t>sqrt(3)*sqrt(Pwr/(c*epsilon))*(-omega**2 + omega_0**2)/(2*sqrt(pi)*omega**2*r)</t>
  </si>
  <si>
    <t>Pwr, omega</t>
  </si>
  <si>
    <t>r=[1, 2]; omega_0=[3, 5]</t>
  </si>
  <si>
    <t>c=1.5; epsilon=1.5; pi=3.14159</t>
  </si>
  <si>
    <t>0.188063273941061*sqrt(3)*sqrt(Pwr)*(-omega**2 + omega_0**2)/(omega**2*r)</t>
  </si>
  <si>
    <t>Pwr**p0*(omega**p3*p2 + p1)</t>
  </si>
  <si>
    <t>[1/2, -0.215970250000000, 2.90704730000000, -2]</t>
  </si>
  <si>
    <t>5.341337499973755e-23</t>
  </si>
  <si>
    <t>5.318515666965629e-23</t>
  </si>
  <si>
    <t>8.5741914e-10</t>
  </si>
  <si>
    <t>7.288960883471027</t>
  </si>
  <si>
    <t>3.6986571981576665e-22</t>
  </si>
  <si>
    <t>3.4547753011533643e-22</t>
  </si>
  <si>
    <t>3.341101198144667e-22</t>
  </si>
  <si>
    <t>3.772993329092754e-22</t>
  </si>
  <si>
    <t>1.071648557115408e-22</t>
  </si>
  <si>
    <t>3.9238993515666177e-22</t>
  </si>
  <si>
    <t>1.071648769473346e-22</t>
  </si>
  <si>
    <t>4.077762376803655e-22</t>
  </si>
  <si>
    <t>1.071648556666111e-22</t>
  </si>
  <si>
    <t>4.475365202472268e-22</t>
  </si>
  <si>
    <t>1.071648070892069e-22</t>
  </si>
  <si>
    <t>P11</t>
  </si>
  <si>
    <t>II.11.27_0_0</t>
  </si>
  <si>
    <t>Pol = n*alpha/(1-(n*alpha/3))*epsilon*Ef</t>
  </si>
  <si>
    <t>3*Pol/(alpha*(3*Ef*epsilon + Pol))</t>
  </si>
  <si>
    <t>n</t>
  </si>
  <si>
    <t>Pol, Ef</t>
  </si>
  <si>
    <t>alpha=[0, 1]</t>
  </si>
  <si>
    <t>epsilon=1.5</t>
  </si>
  <si>
    <t>3*Pol/(alpha*(4.5*Ef + Pol))</t>
  </si>
  <si>
    <t>p0*(Pol**p1*(Ef + Pol*p2)**p3*(Ef + Pol*p4)**p3)**p5</t>
  </si>
  <si>
    <t>[0.796916024434194, 2, 0.233508290000000, -1, 0.211163540000000, 1/2]</t>
  </si>
  <si>
    <t>1.215065965100218e-24</t>
  </si>
  <si>
    <t>1.1987551170084742e-24</t>
  </si>
  <si>
    <t>8.922072e-12</t>
  </si>
  <si>
    <t>7.098790891528129</t>
  </si>
  <si>
    <t>1.6911654748083154e-23</t>
  </si>
  <si>
    <t>1.2068084053374127e-23</t>
  </si>
  <si>
    <t>4.72678780290467e-24</t>
  </si>
  <si>
    <t>4.5213089141991176e-24</t>
  </si>
  <si>
    <t>4.5448682123878275e-23</t>
  </si>
  <si>
    <t>4.419850635872463e-24</t>
  </si>
  <si>
    <t>4.260279668148512e-23</t>
  </si>
  <si>
    <t>6.308141082224511e-24</t>
  </si>
  <si>
    <t>5.861115987576481e-23</t>
  </si>
  <si>
    <t>7.87819137474478e-24</t>
  </si>
  <si>
    <t>6.735560704263735e-23</t>
  </si>
  <si>
    <t>P12</t>
  </si>
  <si>
    <t>II.11.3_4_1</t>
  </si>
  <si>
    <t>x = q*Ef/(m*(omega_0**2-omega**2))</t>
  </si>
  <si>
    <t>sqrt(-Ef*q/(m*x) + omega_0**2)</t>
  </si>
  <si>
    <t>x, Ef</t>
  </si>
  <si>
    <t>omega_0=[3, 5]</t>
  </si>
  <si>
    <t>q=2; m=2</t>
  </si>
  <si>
    <t>sqrt(-Ef/x + omega_0**2)</t>
  </si>
  <si>
    <t>(Ef*p1*x**p1 + p0)**p2</t>
  </si>
  <si>
    <t>[11.0676320000000, -1, 1/2]</t>
  </si>
  <si>
    <t>[p0, p1, p2]</t>
  </si>
  <si>
    <t>1.2234901465287051e-22</t>
  </si>
  <si>
    <t>8.147358828125917e-23</t>
  </si>
  <si>
    <t>7.9333914e-11</t>
  </si>
  <si>
    <t>19.83580112708357</t>
  </si>
  <si>
    <t>[0, 1, 2, 3, 4]</t>
  </si>
  <si>
    <t>0.3445349995287594</t>
  </si>
  <si>
    <t>0.48723885210912143</t>
  </si>
  <si>
    <t>0.3905527774515714</t>
  </si>
  <si>
    <t>0.4706650566357835</t>
  </si>
  <si>
    <t>0.6565359812044027</t>
  </si>
  <si>
    <t>0.034385279366948795</t>
  </si>
  <si>
    <t>0.32056648423429857</t>
  </si>
  <si>
    <t>0.4679979823633353</t>
  </si>
  <si>
    <t>0.5320020176366648</t>
  </si>
  <si>
    <t>0.27377385192486303</t>
  </si>
  <si>
    <t>0.3823450067285305</t>
  </si>
  <si>
    <t>0.6176549932714696</t>
  </si>
  <si>
    <t>0.3516032210116711</t>
  </si>
  <si>
    <t>0.4723161714494006</t>
  </si>
  <si>
    <t>0.5276838285505994</t>
  </si>
  <si>
    <t>0.2516143450800807</t>
  </si>
  <si>
    <t>0.31590589181790674</t>
  </si>
  <si>
    <t>0.6840941081820933</t>
  </si>
  <si>
    <t>P13</t>
  </si>
  <si>
    <t>I.13.12_3_0</t>
  </si>
  <si>
    <t>U = G*m1*m2*(1/r2-1/r1)</t>
  </si>
  <si>
    <t>G*m1*m2*r1/(G*m1*m2 + U*r1)</t>
  </si>
  <si>
    <t>r2</t>
  </si>
  <si>
    <t>U</t>
  </si>
  <si>
    <t>r1=[1, 5]</t>
  </si>
  <si>
    <t>G=3; m1=3; m2=3</t>
  </si>
  <si>
    <t>27*r1/(U*r1 + 27)</t>
  </si>
  <si>
    <t>p0*log(p1*p2**U)**p3</t>
  </si>
  <si>
    <t>[14.0373360000000, 339.820465886790, 1.68181860000000, -1]</t>
  </si>
  <si>
    <t>1.22369383281013e-23</t>
  </si>
  <si>
    <t>1.0336852235572772e-23</t>
  </si>
  <si>
    <t>1.6090799e-09</t>
  </si>
  <si>
    <t>0.0699294444494639</t>
  </si>
  <si>
    <t>[4, 5]</t>
  </si>
  <si>
    <t>1.2102732740042869e-23</t>
  </si>
  <si>
    <t>9.60092175571514e-24</t>
  </si>
  <si>
    <t>9.686177784162501e-24</t>
  </si>
  <si>
    <t>1.2347036715187069e-23</t>
  </si>
  <si>
    <t>1.2619288834701271e-23</t>
  </si>
  <si>
    <t>1.2874811439936626e-23</t>
  </si>
  <si>
    <t>1.2652550018549283e-23</t>
  </si>
  <si>
    <t>1.3366342046151188e-23</t>
  </si>
  <si>
    <t>1.26410864755064e-23</t>
  </si>
  <si>
    <t>1.466728567625367e-23</t>
  </si>
  <si>
    <t>1.2638612744745634e-23</t>
  </si>
  <si>
    <t>P14</t>
  </si>
  <si>
    <t>I.44.4_4_0</t>
  </si>
  <si>
    <t>E_n = n*kb*T*ln(V2/V1)</t>
  </si>
  <si>
    <t>V1*exp(E_n/(T*kb*n))</t>
  </si>
  <si>
    <t>V2</t>
  </si>
  <si>
    <t>V1=[1, 5]; T=[1, 5]</t>
  </si>
  <si>
    <t>kb=3; n=3</t>
  </si>
  <si>
    <t>V1*exp(E_n/(9*T))</t>
  </si>
  <si>
    <t>p0*p1**E_n</t>
  </si>
  <si>
    <t>[2.50103830000000, 1.02904870000000]</t>
  </si>
  <si>
    <t>1.2199574361652829e-23</t>
  </si>
  <si>
    <t>1.2002392036394473e-23</t>
  </si>
  <si>
    <t>1.2187594e-09</t>
  </si>
  <si>
    <t>8.782452441357817</t>
  </si>
  <si>
    <t>[7]</t>
  </si>
  <si>
    <t>1.21544356412707e-23</t>
  </si>
  <si>
    <t>1.1595415915260994e-23</t>
  </si>
  <si>
    <t>1.1324899344614617e-23</t>
  </si>
  <si>
    <t>1.2400226080377475e-23</t>
  </si>
  <si>
    <t>9.546745206370082e-24</t>
  </si>
  <si>
    <t>1.2897956064234149e-23</t>
  </si>
  <si>
    <t>9.548020684962018e-24</t>
  </si>
  <si>
    <t>1.3410048224815258e-23</t>
  </si>
  <si>
    <t>9.552448841990926e-24</t>
  </si>
  <si>
    <t>1.470661463016437e-23</t>
  </si>
  <si>
    <t>9.54543614023878e-24</t>
  </si>
  <si>
    <t>P15</t>
  </si>
  <si>
    <t>II.34.29b_4_0</t>
  </si>
  <si>
    <t>E_n = g_*mom*B*Jz/(h/(2*pi))</t>
  </si>
  <si>
    <t>E_n*h/(2*pi*Jz*g_*mom)</t>
  </si>
  <si>
    <t>g_=[1, 5]</t>
  </si>
  <si>
    <t>h=3; Jz=3; mom=3; pi=3.14159</t>
  </si>
  <si>
    <t>0.0530516925081461*E_n/g_</t>
  </si>
  <si>
    <t>E_n*p0</t>
  </si>
  <si>
    <t>[0.0241942030000000]</t>
  </si>
  <si>
    <t>[p0]</t>
  </si>
  <si>
    <t>3.148262328245683e-23</t>
  </si>
  <si>
    <t>2.841072934477936e-23</t>
  </si>
  <si>
    <t>2.2077983e-14</t>
  </si>
  <si>
    <t>15.8676657515832</t>
  </si>
  <si>
    <t>[1, 3, 5]</t>
  </si>
  <si>
    <t>3.160446174944204e-23</t>
  </si>
  <si>
    <t>2.8908652676444573e-23</t>
  </si>
  <si>
    <t>2.798320291112697e-23</t>
  </si>
  <si>
    <t>3.223970847387981e-23</t>
  </si>
  <si>
    <t>2.3668724445510374e-23</t>
  </si>
  <si>
    <t>3.3529170445709153e-23</t>
  </si>
  <si>
    <t>2.3668724438753692e-23</t>
  </si>
  <si>
    <t>3.484386988516328e-23</t>
  </si>
  <si>
    <t>2.3668693074467738e-23</t>
  </si>
  <si>
    <t>3.824137708075647e-23</t>
  </si>
  <si>
    <t>2.3668713334600464e-23</t>
  </si>
  <si>
    <t>P16</t>
  </si>
  <si>
    <t>II.35.18_4_1</t>
  </si>
  <si>
    <t>n = n_0/(exp(mom*B/(kb*T))+exp(-mom*B/(kb*T)))</t>
  </si>
  <si>
    <t>T*kb*log((n_0 + sqrt(-4*n**2 + n_0**2))/(2*n))/mom</t>
  </si>
  <si>
    <t>T=[1, 3]; n_0=[1, 3]</t>
  </si>
  <si>
    <t>kb=2; mom=2</t>
  </si>
  <si>
    <t>T*log((n_0 + sqrt(-4*n**2 + n_0**2))/(2*n))</t>
  </si>
  <si>
    <t>log((n**p1*(n**p4*p3 + p2)**p5 + p0)**p6)</t>
  </si>
  <si>
    <t>[-1.49070640000000, -1, -4.35788730000000, 8.90491200000000, -2, 1.34888290000000, 1/2]</t>
  </si>
  <si>
    <t>[p0, p1, p2, p3, p4, p5, p6]</t>
  </si>
  <si>
    <t>1.2559382931217673e-13</t>
  </si>
  <si>
    <t>3.3548245590872204e-14</t>
  </si>
  <si>
    <t>0.999999999999599</t>
  </si>
  <si>
    <t>9.2861264e-08</t>
  </si>
  <si>
    <t>1.4878987223086264</t>
  </si>
  <si>
    <t>[4]</t>
  </si>
  <si>
    <t>0.012058757729520895</t>
  </si>
  <si>
    <t>0.9611898761271342</t>
  </si>
  <si>
    <t>0.022808079303832933</t>
  </si>
  <si>
    <t>0.926328154144864</t>
  </si>
  <si>
    <t>0.008607493429466463</t>
  </si>
  <si>
    <t>0.9722135124102944</t>
  </si>
  <si>
    <t>0.042878529255732864</t>
  </si>
  <si>
    <t>0.13394199652864727</t>
  </si>
  <si>
    <t>0.8660580034713528</t>
  </si>
  <si>
    <t>0.10398442560882676</t>
  </si>
  <si>
    <t>0.3168744267207586</t>
  </si>
  <si>
    <t>0.6831255732792414</t>
  </si>
  <si>
    <t>0.013773248605354147</t>
  </si>
  <si>
    <t>0.04009191793831562</t>
  </si>
  <si>
    <t>0.9599080820616843</t>
  </si>
  <si>
    <t>0.004564097356696595</t>
  </si>
  <si>
    <t>0.011982912277538844</t>
  </si>
  <si>
    <t>0.9880170877224611</t>
  </si>
  <si>
    <t>P17</t>
  </si>
  <si>
    <t>III.13.18_0_0</t>
  </si>
  <si>
    <t>v = 2*E_n*d**2*k/(h/(2*pi))</t>
  </si>
  <si>
    <t>h*v/(4*pi*d**2*k)</t>
  </si>
  <si>
    <t>v, k</t>
  </si>
  <si>
    <t>d=[1, 5]</t>
  </si>
  <si>
    <t>0.238732616286657*v/(d**2*k)</t>
  </si>
  <si>
    <t>k**p1*p0*v</t>
  </si>
  <si>
    <t>[0.0132884120000000, -1]</t>
  </si>
  <si>
    <t>4.232296444799022e-23</t>
  </si>
  <si>
    <t>4.176562477761401e-23</t>
  </si>
  <si>
    <t>3.4580693e-14</t>
  </si>
  <si>
    <t>15.45121947506421</t>
  </si>
  <si>
    <t>[0, 1, 2, 3, 5]</t>
  </si>
  <si>
    <t>3.9589741839345944e-22</t>
  </si>
  <si>
    <t>3.6083358510742573e-22</t>
  </si>
  <si>
    <t>3.7233292702011933e-22</t>
  </si>
  <si>
    <t>4.0385481778651934e-22</t>
  </si>
  <si>
    <t>2.4450975289446554e-23</t>
  </si>
  <si>
    <t>4.2000742488398003e-22</t>
  </si>
  <si>
    <t>2.445097544584325e-23</t>
  </si>
  <si>
    <t>4.364769934668791e-22</t>
  </si>
  <si>
    <t>2.4450988896346118e-23</t>
  </si>
  <si>
    <t>4.790363470500332e-22</t>
  </si>
  <si>
    <t>2.4451008143097048e-23</t>
  </si>
  <si>
    <t>P18</t>
  </si>
  <si>
    <t>I.27.6_2_0</t>
  </si>
  <si>
    <t>foc = 1/(1/d1+n/d2)</t>
  </si>
  <si>
    <t>d2/foc - d2/d1</t>
  </si>
  <si>
    <t>foc</t>
  </si>
  <si>
    <t>d1=[1, 5]; d2=[1, 5]</t>
  </si>
  <si>
    <t>d2*(1/foc - 1/d1)</t>
  </si>
  <si>
    <t>foc**p2*p1 + p0</t>
  </si>
  <si>
    <t>[-1.01650050000000, 4.01698260000000, -1]</t>
  </si>
  <si>
    <t>2.937751161358057e-23</t>
  </si>
  <si>
    <t>2.7357201416104515e-23</t>
  </si>
  <si>
    <t>2.1833557e-14</t>
  </si>
  <si>
    <t>14.566727360614966</t>
  </si>
  <si>
    <t>2.9384896200960807e-23</t>
  </si>
  <si>
    <t>3.213163393893992e-23</t>
  </si>
  <si>
    <t>3.393354428867569e-23</t>
  </si>
  <si>
    <t>2.997552017643107e-23</t>
  </si>
  <si>
    <t>2.583716601410383e-23</t>
  </si>
  <si>
    <t>3.117444847458417e-23</t>
  </si>
  <si>
    <t>2.583718667220508e-23</t>
  </si>
  <si>
    <t>3.239685027871503e-23</t>
  </si>
  <si>
    <t>2.5837177915112654e-23</t>
  </si>
  <si>
    <t>3.555570949573034e-23</t>
  </si>
  <si>
    <t>2.5837165723151417e-23</t>
  </si>
  <si>
    <t>P19</t>
  </si>
  <si>
    <t>III.4.33_3_0</t>
  </si>
  <si>
    <t>E_n = (h/(2*pi))*omega/(exp((h/(2*pi))*omega/(kb*T))-1)</t>
  </si>
  <si>
    <t>h*omega/(2*pi*kb*log(1 + h*omega/(2*pi*E_n)))</t>
  </si>
  <si>
    <t>T</t>
  </si>
  <si>
    <t>omega=[1, 5]</t>
  </si>
  <si>
    <t>h=3; kb=3; pi=3.14159</t>
  </si>
  <si>
    <t>0.159155077524438*omega/log(1 + 0.477465232573315*omega/E_n)</t>
  </si>
  <si>
    <t>E_n*p1 + p0 + p2*(E_n + p3*exp(-p4))**p4</t>
  </si>
  <si>
    <t>[0.337640050000000, 0.333314450000000, -0.115244780000000, 0.348700198062720, -1]</t>
  </si>
  <si>
    <t>6.308456854684563e-14</t>
  </si>
  <si>
    <t>7.732324710957245e-16</t>
  </si>
  <si>
    <t>0.9999999999999531</t>
  </si>
  <si>
    <t>1.614404e-09</t>
  </si>
  <si>
    <t>0.037604695842814</t>
  </si>
  <si>
    <t>5.933186136747435e-14</t>
  </si>
  <si>
    <t>0.9999999999999549</t>
  </si>
  <si>
    <t>9.519452989034903e-14</t>
  </si>
  <si>
    <t>0.9999999999999277</t>
  </si>
  <si>
    <t>1.249138636791986e-13</t>
  </si>
  <si>
    <t>0.9999999999999052</t>
  </si>
  <si>
    <t>6.052443177817818e-14</t>
  </si>
  <si>
    <t>4.502327803124347e-14</t>
  </si>
  <si>
    <t>6.294517172585766e-14</t>
  </si>
  <si>
    <t>4.502327803411634e-14</t>
  </si>
  <si>
    <t>6.541337714817032e-14</t>
  </si>
  <si>
    <t>4.502327802680567e-14</t>
  </si>
  <si>
    <t>7.179155225068138e-14</t>
  </si>
  <si>
    <t>4.5023278030873495e-14</t>
  </si>
  <si>
    <t>P20</t>
  </si>
  <si>
    <t>III.9.52_1_0</t>
  </si>
  <si>
    <t>prob = (p_d*Ef*t/(h/(2*pi)))*sin((omega-omega_0)*t/2)**2/((omega-omega_0)*t/2)**2</t>
  </si>
  <si>
    <t>h*prob*t*(omega - omega_0)**2/(4*pi*p_d*(1 - cos(t*(omega - omega_0))))</t>
  </si>
  <si>
    <t>prob, t, omega</t>
  </si>
  <si>
    <t>p_d=[1, 3]; omega_0=[3, 5]</t>
  </si>
  <si>
    <t>h=2; pi=3.14159</t>
  </si>
  <si>
    <t>0.159155077524438*prob*t*(omega - omega_0)**2/(p_d*(1 - cos(t*(omega - omega_0))))</t>
  </si>
  <si>
    <t>(p0*prob + tanh(p1 + t*(omega*p2 + t)))**p3 + cos(p4 + p5*prob)</t>
  </si>
  <si>
    <t>[0.286873970000000, -0.155367140000000, -1, 1.63471290000000, -1.02568050000000, 0.283633740000000]</t>
  </si>
  <si>
    <t>0.0565648192334371</t>
  </si>
  <si>
    <t>0.045856624930428</t>
  </si>
  <si>
    <t>0.8287581181691656</t>
  </si>
  <si>
    <t>0.0759885958041368</t>
  </si>
  <si>
    <t>359203568186025.1</t>
  </si>
  <si>
    <t>192780285071977.62</t>
  </si>
  <si>
    <t>0.00033000122969251144</t>
  </si>
  <si>
    <t>3692119680632336.0</t>
  </si>
  <si>
    <t>0.00012363964313624742</t>
  </si>
  <si>
    <t>366423532244360.3</t>
  </si>
  <si>
    <t>1.000120645449622</t>
  </si>
  <si>
    <t>381079086535610.0</t>
  </si>
  <si>
    <t>1.0001286967527057</t>
  </si>
  <si>
    <t>396021907430819.25</t>
  </si>
  <si>
    <t>1.000124613798131</t>
  </si>
  <si>
    <t>434636305617537.94</t>
  </si>
  <si>
    <t>1.0000549896099633</t>
  </si>
  <si>
    <t>P21</t>
  </si>
  <si>
    <t>II.21.32_3_0</t>
  </si>
  <si>
    <t>Volt = q/(4*pi*epsilon*r*(1-v/c))</t>
  </si>
  <si>
    <t>c - c*q/(4*pi*Volt*epsilon*r)</t>
  </si>
  <si>
    <t>Volt, r</t>
  </si>
  <si>
    <t>c=6.5; epsilon=3; pi=3.14159</t>
  </si>
  <si>
    <t>6.5 - 0.172418000651475*q/(Volt*r)</t>
  </si>
  <si>
    <t>Volt**p1*p3/r + p0 + p1*(p1*p2 + p2)</t>
  </si>
  <si>
    <t>[6.49999973068992, -1, -0.166225970000000, -0.637847876938272]</t>
  </si>
  <si>
    <t>1.0817876716193237e-22</t>
  </si>
  <si>
    <t>1.0791124942312405e-22</t>
  </si>
  <si>
    <t>8.75275e-14</t>
  </si>
  <si>
    <t>0.049970799071234</t>
  </si>
  <si>
    <t>5.718863655937579e-11</t>
  </si>
  <si>
    <t>0.9999999999940822</t>
  </si>
  <si>
    <t>1.5241580627068924e-17</t>
  </si>
  <si>
    <t>2.8417822057851024e-17</t>
  </si>
  <si>
    <t>1.0633408990247566e-17</t>
  </si>
  <si>
    <t>1.13089606423309e-18</t>
  </si>
  <si>
    <t>3.39645674636645e-11</t>
  </si>
  <si>
    <t>3.4804580083770672e-12</t>
  </si>
  <si>
    <t>0.9999999999965196</t>
  </si>
  <si>
    <t>7.063575233206916e-16</t>
  </si>
  <si>
    <t>6.946745826631239e-17</t>
  </si>
  <si>
    <t>5.98936678980517e-17</t>
  </si>
  <si>
    <t>5.226606015752385e-18</t>
  </si>
  <si>
    <t>P22</t>
  </si>
  <si>
    <t>I.15.3t_0_0</t>
  </si>
  <si>
    <t>t1 = (t-u*x/c**2)/sqrt(1-u**2/c**2)</t>
  </si>
  <si>
    <t>c**2*(t - t1*sqrt((c**2 - u**2)/c**2))/u</t>
  </si>
  <si>
    <t>t, t1</t>
  </si>
  <si>
    <t>u=[1, 2]</t>
  </si>
  <si>
    <t>42.25*(t - t1*sqrt(1.0 - 0.0236686390532544*u**2))/u</t>
  </si>
  <si>
    <t>p0*t + p1*t1</t>
  </si>
  <si>
    <t>[25.2260360000000, -24.3742259600000]</t>
  </si>
  <si>
    <t>1.1644800075487862e-20</t>
  </si>
  <si>
    <t>1.0632252566863827e-20</t>
  </si>
  <si>
    <t>9.090101e-12</t>
  </si>
  <si>
    <t>0.3156166105910449</t>
  </si>
  <si>
    <t>[0, 1, 2, 3, 4, 5, 6, 7]</t>
  </si>
  <si>
    <t>1.3741691488011175e-20</t>
  </si>
  <si>
    <t>9.366358560630092e-21</t>
  </si>
  <si>
    <t>7.700671606651033e-21</t>
  </si>
  <si>
    <t>1.4017906937696877e-20</t>
  </si>
  <si>
    <t>6.620886119768921e-24</t>
  </si>
  <si>
    <t>1.4578547485084142e-20</t>
  </si>
  <si>
    <t>6.620877397795927e-24</t>
  </si>
  <si>
    <t>1.5150226203970628e-20</t>
  </si>
  <si>
    <t>6.620884899266477e-24</t>
  </si>
  <si>
    <t>1.6627432314897726e-20</t>
  </si>
  <si>
    <t>6.620877606419998e-24</t>
  </si>
  <si>
    <t>P23</t>
  </si>
  <si>
    <t>II.13.23_1_0</t>
  </si>
  <si>
    <t>rho_c = rho_c_0/sqrt(1-v**2/c**2)</t>
  </si>
  <si>
    <t>c*sqrt(1 - rho_c_0**2/rho_c**2)</t>
  </si>
  <si>
    <t>rho_c</t>
  </si>
  <si>
    <t>rho_c_0=[1, 5]</t>
  </si>
  <si>
    <t>6.5*sqrt(1 - rho_c_0**2/rho_c**2)</t>
  </si>
  <si>
    <t>p0*sin((p1 + rho_c)**p2)</t>
  </si>
  <si>
    <t>[6.95430500000000, -1.65220200000000, 1/2]</t>
  </si>
  <si>
    <t>4.7942553727253146e-08</t>
  </si>
  <si>
    <t>3.243611945903733e-09</t>
  </si>
  <si>
    <t>0.999999398683601</t>
  </si>
  <si>
    <t>1.6520378e-05</t>
  </si>
  <si>
    <t>1.8572861559515272</t>
  </si>
  <si>
    <t>[3, 4, 7]</t>
  </si>
  <si>
    <t>0.6350489456921118</t>
  </si>
  <si>
    <t>0.6471892065970933</t>
  </si>
  <si>
    <t>0.6333464327768263</t>
  </si>
  <si>
    <t>0.6481797707451983</t>
  </si>
  <si>
    <t>7.981596124849168</t>
  </si>
  <si>
    <t>0.6749487204584713</t>
  </si>
  <si>
    <t>7.99171678707338</t>
  </si>
  <si>
    <t>0.701720982119648</t>
  </si>
  <si>
    <t>7.995268209686151</t>
  </si>
  <si>
    <t>0.7726202877444072</t>
  </si>
  <si>
    <t>8.021149616513997</t>
  </si>
  <si>
    <t>P24</t>
  </si>
  <si>
    <t>I.10.7_1_0</t>
  </si>
  <si>
    <t>m = m_0/sqrt(1-v**2/c**2)</t>
  </si>
  <si>
    <t>c*sqrt(1 - m_0**2/m**2)</t>
  </si>
  <si>
    <t>m</t>
  </si>
  <si>
    <t>m_0=[1, 5]</t>
  </si>
  <si>
    <t>6.5*sqrt(1 - m_0**2/m**2)</t>
  </si>
  <si>
    <t>p0*tanh(m + p1)**p2</t>
  </si>
  <si>
    <t>[5.94182968453321, -2.19008780000000, 1/2]</t>
  </si>
  <si>
    <t>1.364124804305806e-07</t>
  </si>
  <si>
    <t>9.379196144001513e-08</t>
  </si>
  <si>
    <t>0.9999982942479112</t>
  </si>
  <si>
    <t>1.636335e-05</t>
  </si>
  <si>
    <t>0.0299640481392968</t>
  </si>
  <si>
    <t>[3]</t>
  </si>
  <si>
    <t>0.0123633957391866</t>
  </si>
  <si>
    <t>0.8453871583978024</t>
  </si>
  <si>
    <t>0.03190835724793843</t>
  </si>
  <si>
    <t>0.5993369570938181</t>
  </si>
  <si>
    <t>0.034276901541491364</t>
  </si>
  <si>
    <t>0.5719549983236997</t>
  </si>
  <si>
    <t>0.012611899651558928</t>
  </si>
  <si>
    <t>0.15461283739439655</t>
  </si>
  <si>
    <t>0.8453871626056034</t>
  </si>
  <si>
    <t>0.013116326853989942</t>
  </si>
  <si>
    <t>0.15461284531385755</t>
  </si>
  <si>
    <t>0.8453871546861425</t>
  </si>
  <si>
    <t>0.013630642576715075</t>
  </si>
  <si>
    <t>0.15461282795783715</t>
  </si>
  <si>
    <t>0.8453871720421628</t>
  </si>
  <si>
    <t>0.014437075773701603</t>
  </si>
  <si>
    <t>0.14923859661881256</t>
  </si>
  <si>
    <t>0.8507614033811874</t>
  </si>
  <si>
    <t>P25</t>
  </si>
  <si>
    <t>II.15.5_1_0</t>
  </si>
  <si>
    <t>E_n = -p_d*Ef*cos(theta)</t>
  </si>
  <si>
    <t>p_d=[1, 5]</t>
  </si>
  <si>
    <t>E_n*p0*cos(theta)**p1</t>
  </si>
  <si>
    <t>[-0.248576088497985, -1]</t>
  </si>
  <si>
    <t>5.478883642511548e-22</t>
  </si>
  <si>
    <t>5.476801506032002e-22</t>
  </si>
  <si>
    <t>1.3233432e-13</t>
  </si>
  <si>
    <t>3.3762616663390363</t>
  </si>
  <si>
    <t>[0, 6]</t>
  </si>
  <si>
    <t>1.8097575695616703e-21</t>
  </si>
  <si>
    <t>1.8163351115398226e-21</t>
  </si>
  <si>
    <t>1.8220697981296726e-21</t>
  </si>
  <si>
    <t>1.8461333861078e-21</t>
  </si>
  <si>
    <t>3.3317044476972335e-22</t>
  </si>
  <si>
    <t>1.919971391036609e-21</t>
  </si>
  <si>
    <t>3.3317042691914386e-22</t>
  </si>
  <si>
    <t>1.995258598303923e-21</t>
  </si>
  <si>
    <t>3.331706458200405e-22</t>
  </si>
  <si>
    <t>2.189807035016471e-21</t>
  </si>
  <si>
    <t>3.331705577066318e-22</t>
  </si>
  <si>
    <t>P27</t>
  </si>
  <si>
    <t>Magnetic field on axis of current loop</t>
  </si>
  <si>
    <t>B = mu0*I*R**2/(2*(R**2+z**2)**(3/2))</t>
  </si>
  <si>
    <t>sqrt((mu0*I*R**2/(2*B))**(2/3) - R**2)</t>
  </si>
  <si>
    <t>z</t>
  </si>
  <si>
    <t>I=[2, 5]; R=[1, 2]</t>
  </si>
  <si>
    <t>mu0=1</t>
  </si>
  <si>
    <t>sqrt(-R**2 + 2**(1/3)*(I*R**2/B)**(2/3)/2)</t>
  </si>
  <si>
    <t>(B**p2*p1 + B**p6*p5 + p0 + I*p3*tan(B**p4))**p7</t>
  </si>
  <si>
    <t>[-1.54883710000000, 2.09249110000000, -0.668799500000000, 0.00264515560000000, -2, -0.00553496455111516, -1, 1/2]</t>
  </si>
  <si>
    <t>1.5617098411160251e-06</t>
  </si>
  <si>
    <t>7.0942436277315385e-22</t>
  </si>
  <si>
    <t>0.9999965746938262</t>
  </si>
  <si>
    <t>5.7634244e-09</t>
  </si>
  <si>
    <t>0.4974708422544372</t>
  </si>
  <si>
    <t>0.0002990265006182803</t>
  </si>
  <si>
    <t>0.9993030371100958</t>
  </si>
  <si>
    <t>0.00017517322419574496</t>
  </si>
  <si>
    <t>0.9996195846276306</t>
  </si>
  <si>
    <t>0.0001964569181698387</t>
  </si>
  <si>
    <t>0.9996163315134143</t>
  </si>
  <si>
    <t>中等相似</t>
  </si>
  <si>
    <t>0.0006173022999442382</t>
  </si>
  <si>
    <t>0.0013505339551078163</t>
  </si>
  <si>
    <t>0.9986494660448921</t>
  </si>
  <si>
    <t>0.00025752016636971614</t>
  </si>
  <si>
    <t>0.0005621139873359525</t>
  </si>
  <si>
    <t>0.999437886012664</t>
  </si>
  <si>
    <t>0.00037473361695381457</t>
  </si>
  <si>
    <t>0.0007746325713941883</t>
  </si>
  <si>
    <t>0.9992253674286058</t>
  </si>
  <si>
    <t>0.000331523112451801</t>
  </si>
  <si>
    <t>0.0006295846064801525</t>
  </si>
  <si>
    <t>0.9993704153935199</t>
  </si>
  <si>
    <t>P28</t>
  </si>
  <si>
    <t>Kepler third law (Newtonian two-body form)</t>
  </si>
  <si>
    <t>t = 2*pi*d**(3/2)/sqrt(G*(m1+m2))</t>
  </si>
  <si>
    <t>(G*M*T**2/(4*pi**2))**(1/3)</t>
  </si>
  <si>
    <t>M=[2, 6]</t>
  </si>
  <si>
    <t>G=2; pi=3.14159</t>
  </si>
  <si>
    <t>0.233097169776895*2**(2/3)*(M*T**2)**(1/3)</t>
  </si>
  <si>
    <t>p0*(T*exp(pi*p1)**p2)**p3</t>
  </si>
  <si>
    <t>[0.987369763459775, -0.386365380000000, 0.522359000000000, 0.666672050000000]</t>
  </si>
  <si>
    <t>1.1535598506631621e-23</t>
  </si>
  <si>
    <t>1.105182317132762e-23</t>
  </si>
  <si>
    <t>6.5436996e-11</t>
  </si>
  <si>
    <t>0.1364637997453385</t>
  </si>
  <si>
    <t>1.1661979210813999e-23</t>
  </si>
  <si>
    <t>1.1189746282725389e-23</t>
  </si>
  <si>
    <t>1.0890278832411622e-23</t>
  </si>
  <si>
    <t>1.1878325773470932e-23</t>
  </si>
  <si>
    <t>3.5821450075136743e-23</t>
  </si>
  <si>
    <t>1.2327326575879806e-23</t>
  </si>
  <si>
    <t>3.5740859454140747e-23</t>
  </si>
  <si>
    <t>1.2867706542837808e-23</t>
  </si>
  <si>
    <t>3.5903271936766456e-23</t>
  </si>
  <si>
    <t>1.4004919523960736e-23</t>
  </si>
  <si>
    <t>3.560459304786827e-23</t>
  </si>
  <si>
    <t>P29</t>
  </si>
  <si>
    <t>Uniform-acceleration position</t>
  </si>
  <si>
    <t>x = x0 + v0*t + 0.5*a*t**2</t>
  </si>
  <si>
    <t>(-v0 + sqrt(v0**2 + 2*a*(x-x0)))/a</t>
  </si>
  <si>
    <t>t</t>
  </si>
  <si>
    <t>x0=[0, 2]; v0=[1, 4]; a=[0.5, 2]</t>
  </si>
  <si>
    <t>(-v0 + sqrt(2*a*(x - x0) + v0**2))/a</t>
  </si>
  <si>
    <t>p0 + p1*(p2 + x)**p3</t>
  </si>
  <si>
    <t>[-2.31155560000000, 1.25017860000000, 2.15850140000000, 1/2]</t>
  </si>
  <si>
    <t>1.9615934374830192e-23</t>
  </si>
  <si>
    <t>1.9363922139590708e-23</t>
  </si>
  <si>
    <t>4.809313e-09</t>
  </si>
  <si>
    <t>6.1260069241926365</t>
  </si>
  <si>
    <t>[3, 5, 6]</t>
  </si>
  <si>
    <t>0.0002896428109300199</t>
  </si>
  <si>
    <t>0.9998414012027103</t>
  </si>
  <si>
    <t>7.241477249930448e-05</t>
  </si>
  <si>
    <t>0.9999605652981062</t>
  </si>
  <si>
    <t>0.00011966005593614698</t>
  </si>
  <si>
    <t>0.9999334236995521</t>
  </si>
  <si>
    <t>0.0002737360437171622</t>
  </si>
  <si>
    <t>0.00014670733707043988</t>
  </si>
  <si>
    <t>0.9998532926629295</t>
  </si>
  <si>
    <t>0.0002946861165065844</t>
  </si>
  <si>
    <t>0.0001520795526294692</t>
  </si>
  <si>
    <t>0.9998479204473705</t>
  </si>
  <si>
    <t>0.00032038124544720066</t>
  </si>
  <si>
    <t>0.00015899781087072822</t>
  </si>
  <si>
    <t>0.9998410021891293</t>
  </si>
  <si>
    <t>0.0003295421951431545</t>
  </si>
  <si>
    <t>0.00014927853243954425</t>
  </si>
  <si>
    <t>0.9998507214675605</t>
  </si>
  <si>
    <t>P30</t>
  </si>
  <si>
    <t>Linear-drag velocity relaxation</t>
  </si>
  <si>
    <t>v = v_inf + (v0-v_inf)*exp(-t/tau)</t>
  </si>
  <si>
    <t>v_inf=[0, 2]; v0=[8, 12]; tau=[1, 4]</t>
  </si>
  <si>
    <t>p0 + p1*(p2 + v)**p3 + p4*v</t>
  </si>
  <si>
    <t>[1.53977760000000, 10.7437320000000, -0.0705739400000000, -1, -0.287725720000000]</t>
  </si>
  <si>
    <t>4.920136457769821e-11</t>
  </si>
  <si>
    <t>4.673191229361452e-11</t>
  </si>
  <si>
    <t>0.9999999999881596</t>
  </si>
  <si>
    <t>0.0428034090385879</t>
  </si>
  <si>
    <t>2.39975268721369e-10</t>
  </si>
  <si>
    <t>0.9999999999489124</t>
  </si>
  <si>
    <t>3.751501248212957e-10</t>
  </si>
  <si>
    <t>0.9999999999257894</t>
  </si>
  <si>
    <t>4.232143244109526e-10</t>
  </si>
  <si>
    <t>0.9999999999196851</t>
  </si>
  <si>
    <t>2.463503118416098e-10</t>
  </si>
  <si>
    <t>5.1398896256912496e-11</t>
  </si>
  <si>
    <t>0.9999999999486011</t>
  </si>
  <si>
    <t>2.6021816081949893e-10</t>
  </si>
  <si>
    <t>5.221318027960135e-11</t>
  </si>
  <si>
    <t>0.9999999999477869</t>
  </si>
  <si>
    <t>2.7469079368677285e-10</t>
  </si>
  <si>
    <t>5.302070139000691e-11</t>
  </si>
  <si>
    <t>0.9999999999469793</t>
  </si>
  <si>
    <t>3.273874625118547e-10</t>
  </si>
  <si>
    <t>5.802427692174405e-11</t>
  </si>
  <si>
    <t>0.9999999999419757</t>
  </si>
  <si>
    <t>P31</t>
  </si>
  <si>
    <t>Quadratic-drag terminal fall from rest</t>
  </si>
  <si>
    <t>v = v_t*tanh(g*t/v_t)</t>
  </si>
  <si>
    <t>(v_t/g)*atanh(v/v_t)</t>
  </si>
  <si>
    <t>v_t=[20, 50]</t>
  </si>
  <si>
    <t>g=9.81</t>
  </si>
  <si>
    <t>0.101936799184506*v_t*atanh(v/v_t)</t>
  </si>
  <si>
    <t>p0*atanh(p1 + Mod(p2*v*(p3 + p4*v**p5) + p2, p6))</t>
  </si>
  <si>
    <t>[4.27777546777903, -1, 1.00000000000000, 0.0238243340000000, 6.18604200000000e-7, 1.06129420000000, 2]</t>
  </si>
  <si>
    <t>9.139855409000822e-19</t>
  </si>
  <si>
    <t>6.436465960724524e-23</t>
  </si>
  <si>
    <t>3.6663013e-09</t>
  </si>
  <si>
    <t>0.2128176945617105</t>
  </si>
  <si>
    <t>[5]</t>
  </si>
  <si>
    <t>1.4332872142642263e-23</t>
  </si>
  <si>
    <t>1.4338873792681516e-23</t>
  </si>
  <si>
    <t>1.4220463332527053e-23</t>
  </si>
  <si>
    <t>1.462173300337749e-23</t>
  </si>
  <si>
    <t>2.018008046560368e-23</t>
  </si>
  <si>
    <t>1.520751613533244e-23</t>
  </si>
  <si>
    <t>2.018141545175062e-23</t>
  </si>
  <si>
    <t>1.5803151825578336e-23</t>
  </si>
  <si>
    <t>2.018056426076688e-23</t>
  </si>
  <si>
    <t>1.7344375064320647e-23</t>
  </si>
  <si>
    <t>2.018091574051452e-23</t>
  </si>
  <si>
    <t>P33</t>
  </si>
  <si>
    <t>Mixed linear-quadratic drag</t>
  </si>
  <si>
    <t>F_drag = b*v + c2*v**2</t>
  </si>
  <si>
    <t>(-b + sqrt(b**2 + 4*c2*F_drag))/(2*c2)</t>
  </si>
  <si>
    <t>F_drag</t>
  </si>
  <si>
    <t>b=[0.5, 2]; c2=[0.1, 0.5]</t>
  </si>
  <si>
    <t>(-b + sqrt(4*F_drag*c2 + b**2))/(2*c2)</t>
  </si>
  <si>
    <t>p0 + p1*(F_drag + p2)**p3</t>
  </si>
  <si>
    <t>[-2.50551818662016, 2.09252480000000, 1.43368150000000, 1/2]</t>
  </si>
  <si>
    <t>1.987401928090757e-23</t>
  </si>
  <si>
    <t>1.8923286461487965e-23</t>
  </si>
  <si>
    <t>1.7263793e-12</t>
  </si>
  <si>
    <t>0.4070164474743257</t>
  </si>
  <si>
    <t>[0, 1, 2, 3]</t>
  </si>
  <si>
    <t>1.9892897363616167e-23</t>
  </si>
  <si>
    <t>2.0817248705759936e-23</t>
  </si>
  <si>
    <t>1.8156490180638405e-23</t>
  </si>
  <si>
    <t>2.0292481144282615e-23</t>
  </si>
  <si>
    <t>1.04138694772715e-23</t>
  </si>
  <si>
    <t>2.1104280607441616e-23</t>
  </si>
  <si>
    <t>1.041395785145605e-23</t>
  </si>
  <si>
    <t>2.1934823094679686e-23</t>
  </si>
  <si>
    <t>1.0415362258082937e-23</t>
  </si>
  <si>
    <t>2.4088915868726497e-23</t>
  </si>
  <si>
    <t>1.042211937467555e-23</t>
  </si>
  <si>
    <t>P34</t>
  </si>
  <si>
    <t>Vis-viva orbital speed</t>
  </si>
  <si>
    <t>v = sqrt(G*M*(2/r - 1/a_orbit))</t>
  </si>
  <si>
    <t>2*G*M*a_orbit/(a_orbit*v**2 + G*M)</t>
  </si>
  <si>
    <t>M=[2, 5]; a_orbit=[4, 8]</t>
  </si>
  <si>
    <t>G=1</t>
  </si>
  <si>
    <t>2*M*a_orbit/(M + a_orbit*v**2)</t>
  </si>
  <si>
    <t>p0*(p1 + p2*v**p3)**p4</t>
  </si>
  <si>
    <t>[9.63258000000000, 0.703724860000000, 1.52338900000000, 2, -1]</t>
  </si>
  <si>
    <t>7.915962395528366e-23</t>
  </si>
  <si>
    <t>7.577372494416181e-23</t>
  </si>
  <si>
    <t>1.4823233e-09</t>
  </si>
  <si>
    <t>0.2450437930086287</t>
  </si>
  <si>
    <t>[5, 6]</t>
  </si>
  <si>
    <t>7.832132159538856e-23</t>
  </si>
  <si>
    <t>8.643066328413383e-23</t>
  </si>
  <si>
    <t>9.127115366216191e-23</t>
  </si>
  <si>
    <t>7.989159185980852e-23</t>
  </si>
  <si>
    <t>3.8713428210181726e-23</t>
  </si>
  <si>
    <t>8.310220154290436e-23</t>
  </si>
  <si>
    <t>3.872041915598735e-23</t>
  </si>
  <si>
    <t>8.644111172885718e-23</t>
  </si>
  <si>
    <t>3.875580847832985e-23</t>
  </si>
  <si>
    <t>9.477271349942668e-23</t>
  </si>
  <si>
    <t>3.871699452303083e-23</t>
  </si>
  <si>
    <t>P35</t>
  </si>
  <si>
    <t>Schwarzschild gravitational redshift</t>
  </si>
  <si>
    <t>z = 1/sqrt(1-r_s/r) - 1</t>
  </si>
  <si>
    <t>r_s*(1+z)**2/(z*(z+2))</t>
  </si>
  <si>
    <t>r_s=[1, 3]</t>
  </si>
  <si>
    <t>r_s*(z + 1)**2/(z*(z + 2))</t>
  </si>
  <si>
    <t>p0 + p1*z**p2 + p3*cos(z) + p4*z</t>
  </si>
  <si>
    <t>[1.82879010000000, 1.33607115000000, -1, 0.183232550000000, 0.299998500000000]</t>
  </si>
  <si>
    <t>7.607575645613086e-12</t>
  </si>
  <si>
    <t>1.1134069548222525e-13</t>
  </si>
  <si>
    <t>0.9999999999979556</t>
  </si>
  <si>
    <t>1.9111548e-09</t>
  </si>
  <si>
    <t>0.6381164544696541</t>
  </si>
  <si>
    <t>7.379064262487606e-12</t>
  </si>
  <si>
    <t>0.9999999999979767</t>
  </si>
  <si>
    <t>1.1995085320972832e-11</t>
  </si>
  <si>
    <t>0.9999999999965647</t>
  </si>
  <si>
    <t>1.7662507546265995e-11</t>
  </si>
  <si>
    <t>0.9999999999947562</t>
  </si>
  <si>
    <t>7.527383453955242e-12</t>
  </si>
  <si>
    <t>2.023321583184903e-12</t>
  </si>
  <si>
    <t>7.828449275870193e-12</t>
  </si>
  <si>
    <t>2.0233215831870234e-12</t>
  </si>
  <si>
    <t>8.135418349239115e-12</t>
  </si>
  <si>
    <t>2.0233215832023896e-12</t>
  </si>
  <si>
    <t>8.928667757556051e-12</t>
  </si>
  <si>
    <t>2.023321583226929e-12</t>
  </si>
  <si>
    <t>P36</t>
  </si>
  <si>
    <t>Capacitor charging with effective time constant</t>
  </si>
  <si>
    <t>V = V_inf*(1-exp(-t/tau))</t>
  </si>
  <si>
    <t>V</t>
  </si>
  <si>
    <t>V_inf=[8, 12]; tau=[1, 4]</t>
  </si>
  <si>
    <t>V*(p0 + p1*((V*p3 + p2)**p3)**p4)</t>
  </si>
  <si>
    <t>[0.0394358080000000, 0.911908109405767, 10.1385600000000, -1, 1/2]</t>
  </si>
  <si>
    <t>7.298701708577212e-06</t>
  </si>
  <si>
    <t>3.649621502007778e-06</t>
  </si>
  <si>
    <t>0.9999981901508218</t>
  </si>
  <si>
    <t>0.5250693433615378</t>
  </si>
  <si>
    <t>0.07371465636763694</t>
  </si>
  <si>
    <t>0.9839344300216639</t>
  </si>
  <si>
    <t>0.10722532923690789</t>
  </si>
  <si>
    <t>0.9778606244486232</t>
  </si>
  <si>
    <t>0.11347873741079617</t>
  </si>
  <si>
    <t>0.9777404468703781</t>
  </si>
  <si>
    <t>0.07519458197659729</t>
  </si>
  <si>
    <t>0.016065182338520074</t>
  </si>
  <si>
    <t>0.9839348176614799</t>
  </si>
  <si>
    <t>0.07824759056983895</t>
  </si>
  <si>
    <t>0.016073478433086943</t>
  </si>
  <si>
    <t>0.9839265215669131</t>
  </si>
  <si>
    <t>0.08132790461686426</t>
  </si>
  <si>
    <t>0.016076112567381274</t>
  </si>
  <si>
    <t>0.9839238874326188</t>
  </si>
  <si>
    <t>0.08927178317260215</t>
  </si>
  <si>
    <t>0.016078549564144277</t>
  </si>
  <si>
    <t>0.9839214504358558</t>
  </si>
  <si>
    <t>P37</t>
  </si>
  <si>
    <t>Driven-oscillator response with effective drive acceleration</t>
  </si>
  <si>
    <t>Amp = a0/sqrt((omega0**2-omega**2)**2 + 4*gamma**2*omega**2)</t>
  </si>
  <si>
    <t>sqrt(omega0**2 - 2*gamma**2 + sqrt((a0/Amp)**2 + 4*gamma**2*(gamma**2-omega0**2)))</t>
  </si>
  <si>
    <t>Amp</t>
  </si>
  <si>
    <t>a0=[1, 3]; omega0=[3, 5]; gamma=[0.2, 0.6]</t>
  </si>
  <si>
    <t>sqrt(-2*gamma**2 + omega0**2 + sqrt(4*gamma**2*(gamma**2 - omega0**2) + a0**2/Amp**2))</t>
  </si>
  <si>
    <t>(Amp**p3*p2 + p0 + p1*acos(Amp))**p4</t>
  </si>
  <si>
    <t>[10.1892920025848, 3.01509800000000, 2.47197452780920, -1, 1/2]</t>
  </si>
  <si>
    <t>1.5692081009614214e-12</t>
  </si>
  <si>
    <t>2.743741985725301e-15</t>
  </si>
  <si>
    <t>0.9999999999965036</t>
  </si>
  <si>
    <t>4.269778e-10</t>
  </si>
  <si>
    <t>0.1216312334167433</t>
  </si>
  <si>
    <t>[6, 7]</t>
  </si>
  <si>
    <t>1.5570928823749002e-12</t>
  </si>
  <si>
    <t>0.9999999999964374</t>
  </si>
  <si>
    <t>4.953176145376188e-10</t>
  </si>
  <si>
    <t>0.9999999988615462</t>
  </si>
  <si>
    <t>5.3551576512846905e-09</t>
  </si>
  <si>
    <t>0.9999999877805756</t>
  </si>
  <si>
    <t>1.5883904492036926e-12</t>
  </si>
  <si>
    <t>3.5625834660490087e-12</t>
  </si>
  <si>
    <t>1.6519198387342266e-12</t>
  </si>
  <si>
    <t>3.5625834659142364e-12</t>
  </si>
  <si>
    <t>1.7166949026616312e-12</t>
  </si>
  <si>
    <t>3.562583465973324e-12</t>
  </si>
  <si>
    <t>1.884082387591077e-12</t>
  </si>
  <si>
    <t>3.5625834661406137e-12</t>
  </si>
  <si>
    <t>P39</t>
  </si>
  <si>
    <t>Gaussian-beam radius</t>
  </si>
  <si>
    <t>w = w0*sqrt(1+(z/z_R)**2)</t>
  </si>
  <si>
    <t>z_R*sqrt((w/w0)**2 - 1)</t>
  </si>
  <si>
    <t>w</t>
  </si>
  <si>
    <t>w0=[1, 2]; z_R=[2, 5]</t>
  </si>
  <si>
    <t>z_R*sqrt(w**2/w0**2 - 1)</t>
  </si>
  <si>
    <t>p0 + p1*(p2 + w)**p3</t>
  </si>
  <si>
    <t>[10.8053750000000, -11.7846010000000, -0.0593252500000000, -1]</t>
  </si>
  <si>
    <t>0.0032928471447872</t>
  </si>
  <si>
    <t>0.0032876570286271</t>
  </si>
  <si>
    <t>0.9977674112760684</t>
  </si>
  <si>
    <t>0.0105200376715543</t>
  </si>
  <si>
    <t>[1, 4, 5]</t>
  </si>
  <si>
    <t>0.003358714318928528</t>
  </si>
  <si>
    <t>0.9977466620563261</t>
  </si>
  <si>
    <t>0.0033449666773006873</t>
  </si>
  <si>
    <t>0.9977434871118751</t>
  </si>
  <si>
    <t>0.003332770974557851</t>
  </si>
  <si>
    <t>0.9977449738879518</t>
  </si>
  <si>
    <t>0.003426176935191402</t>
  </si>
  <si>
    <t>0.002253306958725824</t>
  </si>
  <si>
    <t>0.9977466930412742</t>
  </si>
  <si>
    <t>0.0035632734699092773</t>
  </si>
  <si>
    <t>0.002253346703614118</t>
  </si>
  <si>
    <t>0.9977466532963859</t>
  </si>
  <si>
    <t>0.0037029320512111472</t>
  </si>
  <si>
    <t>0.0022533072656404046</t>
  </si>
  <si>
    <t>0.9977466927343597</t>
  </si>
  <si>
    <t>0.004063995970476442</t>
  </si>
  <si>
    <t>0.0022533114062197896</t>
  </si>
  <si>
    <t>0.9977466885937802</t>
  </si>
  <si>
    <t>P40</t>
  </si>
  <si>
    <t>Net Stefan-Boltzmann radiation</t>
  </si>
  <si>
    <t>P = Area*sigma*(T**4-Ta**4)</t>
  </si>
  <si>
    <t>(P/(Area*sigma) + Ta**4)**(1/4)</t>
  </si>
  <si>
    <t>P</t>
  </si>
  <si>
    <t>Area=[1, 3]; Ta=[1, 2.5]</t>
  </si>
  <si>
    <t>sigma=1</t>
  </si>
  <si>
    <t>(Ta**4 + P/Area)**(1/4)</t>
  </si>
  <si>
    <t>p0*(P + p1)**p2</t>
  </si>
  <si>
    <t>[0.917640700000000, 6.73668600000000, 1/4]</t>
  </si>
  <si>
    <t>1.0229298760520349e-23</t>
  </si>
  <si>
    <t>1.0189850350160488e-23</t>
  </si>
  <si>
    <t>4.1557087e-13</t>
  </si>
  <si>
    <t>9.25830786210594</t>
  </si>
  <si>
    <t>1.0271939459663128e-23</t>
  </si>
  <si>
    <t>1.0799870684440888e-23</t>
  </si>
  <si>
    <t>1.164475160158866e-23</t>
  </si>
  <si>
    <t>1.0478414311953165e-23</t>
  </si>
  <si>
    <t>7.191558984540926e-24</t>
  </si>
  <si>
    <t>1.0897598443584611e-23</t>
  </si>
  <si>
    <t>7.191617373520895e-24</t>
  </si>
  <si>
    <t>1.1325031299537739e-23</t>
  </si>
  <si>
    <t>7.191691535078758e-24</t>
  </si>
  <si>
    <t>1.2429455554743935e-23</t>
  </si>
  <si>
    <t>7.19178577387035e-24</t>
  </si>
  <si>
    <t>P41</t>
  </si>
  <si>
    <t>Polytropic/adiabatic pressure-volume law</t>
  </si>
  <si>
    <t>P = K_poly*V**(-gamma)</t>
  </si>
  <si>
    <t>(K_poly/P)**(1/gamma)</t>
  </si>
  <si>
    <t>K_poly=[10, 30]; gamma=[1.2, 1.7]</t>
  </si>
  <si>
    <t>P**p1*p0</t>
  </si>
  <si>
    <t>[6.61835580000000, -0.661691400000000]</t>
  </si>
  <si>
    <t>1.1542101143468281e-23</t>
  </si>
  <si>
    <t>1.1531557551163257e-23</t>
  </si>
  <si>
    <t>2.6752883e-10</t>
  </si>
  <si>
    <t>16.49925655875977</t>
  </si>
  <si>
    <t>1.154398520368212e-23</t>
  </si>
  <si>
    <t>1.1090374070228895e-23</t>
  </si>
  <si>
    <t>1.0693356540513134e-23</t>
  </si>
  <si>
    <t>1.1776221157369148e-23</t>
  </si>
  <si>
    <t>1.498276291519133e-23</t>
  </si>
  <si>
    <t>1.2266031915548806e-23</t>
  </si>
  <si>
    <t>1.5006578391071046e-23</t>
  </si>
  <si>
    <t>1.2727426400676458e-23</t>
  </si>
  <si>
    <t>1.4982702871572618e-23</t>
  </si>
  <si>
    <t>1.3982687518619082e-23</t>
  </si>
  <si>
    <t>1.4997266443491652e-23</t>
  </si>
  <si>
    <t>P42</t>
  </si>
  <si>
    <t>Fermi-Dirac occupation</t>
  </si>
  <si>
    <t>f_occ = 1/(exp((E-mu)/(kb*T_par))+1)</t>
  </si>
  <si>
    <t>mu + kb*T_par*log(1/f_occ - 1)</t>
  </si>
  <si>
    <t>E</t>
  </si>
  <si>
    <t>f_occ</t>
  </si>
  <si>
    <t>mu=[-1, 1]; T_par=[0.5, 2]</t>
  </si>
  <si>
    <t>kb=1</t>
  </si>
  <si>
    <t>T_par*log(-1 + 1/f_occ) + mu</t>
  </si>
  <si>
    <t>p0 + p1*atanh(p2 + Mod(f_occ*p4 + p3, p5))</t>
  </si>
  <si>
    <t>[-0.186385740000000, -3.11140420000000, -1, 6.00000000017253e-7, 2.00000000000000, 2]</t>
  </si>
  <si>
    <t>1.589876948268904e-23</t>
  </si>
  <si>
    <t>1.5572398259469976e-23</t>
  </si>
  <si>
    <t>1.2117002e-09</t>
  </si>
  <si>
    <t>7.946834307909064</t>
  </si>
  <si>
    <t>1.6770362659029516e-23</t>
  </si>
  <si>
    <t>1.690166888921479e-23</t>
  </si>
  <si>
    <t>1.8452047734774445e-23</t>
  </si>
  <si>
    <t>不相似</t>
  </si>
  <si>
    <t>1.7100509630265727e-23</t>
  </si>
  <si>
    <t>4.313387759267509e-24</t>
  </si>
  <si>
    <t>8.298633581605115e-18</t>
  </si>
  <si>
    <t>1.9547852521881273e-18</t>
  </si>
  <si>
    <t>1.8544571696226397e-23</t>
  </si>
  <si>
    <t>4.331697652604072e-24</t>
  </si>
  <si>
    <t>4.198725794783926e-22</t>
  </si>
  <si>
    <t>8.684446004654291e-23</t>
  </si>
  <si>
    <t>P45</t>
  </si>
  <si>
    <t>Small-angle pendulum period</t>
  </si>
  <si>
    <t>T = 2*pi*sqrt(L/g)</t>
  </si>
  <si>
    <t>g*T**2/(4*pi**2)</t>
  </si>
  <si>
    <t>L</t>
  </si>
  <si>
    <t>g=[5, 15]</t>
  </si>
  <si>
    <t>pi=3.14159</t>
  </si>
  <si>
    <t>0.02533033870181*T**2*g</t>
  </si>
  <si>
    <t>T**p1*p0</t>
  </si>
  <si>
    <t>[0.168041590000000, 2]</t>
  </si>
  <si>
    <t>2.624108030528403e-23</t>
  </si>
  <si>
    <t>2.5344634323647674e-23</t>
  </si>
  <si>
    <t>3.5867488e-14</t>
  </si>
  <si>
    <t>14.208804475345255</t>
  </si>
  <si>
    <t>[0, 1, 2, 4, 6, 7]</t>
  </si>
  <si>
    <t>2.652026073200213e-23</t>
  </si>
  <si>
    <t>2.694971363787077e-23</t>
  </si>
  <si>
    <t>2.716870563304804e-23</t>
  </si>
  <si>
    <t>2.7053325048553596e-23</t>
  </si>
  <si>
    <t>1.539271066112822e-23</t>
  </si>
  <si>
    <t>2.813535666928118e-23</t>
  </si>
  <si>
    <t>1.5392713270480876e-23</t>
  </si>
  <si>
    <t>2.923859665284569e-23</t>
  </si>
  <si>
    <t>1.539271158729092e-23</t>
  </si>
  <si>
    <t>3.208953336711166e-23</t>
  </si>
  <si>
    <t>1.5392715256275003e-23</t>
  </si>
  <si>
    <t>P46</t>
  </si>
  <si>
    <t>Mass-spring oscillation period</t>
  </si>
  <si>
    <t>T = 2*pi*sqrt(m/k)</t>
  </si>
  <si>
    <t>k*T**2/(4*pi**2)</t>
  </si>
  <si>
    <t>k=[1, 10]</t>
  </si>
  <si>
    <t>0.02533033870181*T**2*k</t>
  </si>
  <si>
    <t>[0.185325018536038, 2]</t>
  </si>
  <si>
    <t>1.987043713276502e-23</t>
  </si>
  <si>
    <t>1.8935086644449779e-23</t>
  </si>
  <si>
    <t>4.0949998e-14</t>
  </si>
  <si>
    <t>0.0097852935750365</t>
  </si>
  <si>
    <t>[1]</t>
  </si>
  <si>
    <t>2.005283348761289e-23</t>
  </si>
  <si>
    <t>2.064804320323922e-23</t>
  </si>
  <si>
    <t>2.0819387199820465e-23</t>
  </si>
  <si>
    <t>2.045588910243753e-23</t>
  </si>
  <si>
    <t>1.1736866083939122e-23</t>
  </si>
  <si>
    <t>2.1274044364846532e-23</t>
  </si>
  <si>
    <t>1.173686576200963e-23</t>
  </si>
  <si>
    <t>2.210826281035226e-23</t>
  </si>
  <si>
    <t>1.173687724030647e-23</t>
  </si>
  <si>
    <t>2.426390587279488e-23</t>
  </si>
  <si>
    <t>1.1736858588442915e-23</t>
  </si>
  <si>
    <t>P47</t>
  </si>
  <si>
    <t>Hooke law with force offset</t>
  </si>
  <si>
    <t>F = F0 - k*x</t>
  </si>
  <si>
    <t>(F0-F)/k</t>
  </si>
  <si>
    <t>F</t>
  </si>
  <si>
    <t>F0=[8, 12]; k=[1, 4]</t>
  </si>
  <si>
    <t>(-F + F0)/k</t>
  </si>
  <si>
    <t>F**p1*p0</t>
  </si>
  <si>
    <t>[6.32627500000000, -1]</t>
  </si>
  <si>
    <t>0.0323158506485912</t>
  </si>
  <si>
    <t>0.0318818645359628</t>
  </si>
  <si>
    <t>0.9027896825233774</t>
  </si>
  <si>
    <t>0.6710367154685714</t>
  </si>
  <si>
    <t>0.032300505363186155</t>
  </si>
  <si>
    <t>0.9032860168781149</t>
  </si>
  <si>
    <t>0.03409789292278349</t>
  </si>
  <si>
    <t>0.8979028254052953</t>
  </si>
  <si>
    <t>0.03522808112335508</t>
  </si>
  <si>
    <t>0.89451784743936</t>
  </si>
  <si>
    <t>0.03294974552027348</t>
  </si>
  <si>
    <t>0.09671398311983634</t>
  </si>
  <si>
    <t>0.9032860168801637</t>
  </si>
  <si>
    <t>0.034267606138538347</t>
  </si>
  <si>
    <t>0.09671398311833547</t>
  </si>
  <si>
    <t>0.9032860168816645</t>
  </si>
  <si>
    <t>0.03561130716147616</t>
  </si>
  <si>
    <t>0.09671398311800378</t>
  </si>
  <si>
    <t>0.9032860168819963</t>
  </si>
  <si>
    <t>0.039083611488604335</t>
  </si>
  <si>
    <t>0.09671398311979104</t>
  </si>
  <si>
    <t>0.9032860168802089</t>
  </si>
  <si>
    <t>P48</t>
  </si>
  <si>
    <t>Hydrostatic pressure</t>
  </si>
  <si>
    <t>P = P0 + rho*g*h</t>
  </si>
  <si>
    <t>(P-P0)/(rho*g)</t>
  </si>
  <si>
    <t>h</t>
  </si>
  <si>
    <t>P0=[1, 3]; rho=[1, 3]</t>
  </si>
  <si>
    <t>0.101936799184506*(P - P0)/rho</t>
  </si>
  <si>
    <t>P*p1 + p0</t>
  </si>
  <si>
    <t>[-0.0966368000000000, 0.0581702960000000]</t>
  </si>
  <si>
    <t>1.2004449230251761e-22</t>
  </si>
  <si>
    <t>1.1805793374198068e-22</t>
  </si>
  <si>
    <t>7.8407394e-14</t>
  </si>
  <si>
    <t>12.03715660753507</t>
  </si>
  <si>
    <t>[4, 6, 7]</t>
  </si>
  <si>
    <t>1.2152150452752137e-22</t>
  </si>
  <si>
    <t>1.0819388904430422e-22</t>
  </si>
  <si>
    <t>1.0126609581376064e-22</t>
  </si>
  <si>
    <t>1.2396397301255457e-22</t>
  </si>
  <si>
    <t>1.447704522206651e-23</t>
  </si>
  <si>
    <t>1.2892271837852654e-22</t>
  </si>
  <si>
    <t>1.447712072322136e-23</t>
  </si>
  <si>
    <t>1.3397728633672884e-22</t>
  </si>
  <si>
    <t>1.447703993001861e-23</t>
  </si>
  <si>
    <t>1.4704082028263543e-22</t>
  </si>
  <si>
    <t>1.447703894321586e-23</t>
  </si>
  <si>
    <t>P49</t>
  </si>
  <si>
    <t>Circular-orbit speed</t>
  </si>
  <si>
    <t>v = sqrt(G*M/r)</t>
  </si>
  <si>
    <t>G*M/v**2</t>
  </si>
  <si>
    <t>M=[1, 5]</t>
  </si>
  <si>
    <t>M/v**2</t>
  </si>
  <si>
    <t>p0*v**p1</t>
  </si>
  <si>
    <t>[4.03393170000000, -1]</t>
  </si>
  <si>
    <t>6.62874757341709e-23</t>
  </si>
  <si>
    <t>5.983732381189451e-23</t>
  </si>
  <si>
    <t>0.6992079308151552</t>
  </si>
  <si>
    <t>[1, 2, 4, 5, 6, 7]</t>
  </si>
  <si>
    <t>6.684343881585868e-23</t>
  </si>
  <si>
    <t>7.314677298353112e-23</t>
  </si>
  <si>
    <t>7.582659539695082e-23</t>
  </si>
  <si>
    <t>6.816092705023686e-23</t>
  </si>
  <si>
    <t>1.3457142759714662e-23</t>
  </si>
  <si>
    <t>7.095950953518755e-23</t>
  </si>
  <si>
    <t>1.3471275244676336e-23</t>
  </si>
  <si>
    <t>7.369080880298884e-23</t>
  </si>
  <si>
    <t>1.3461679730709347e-23</t>
  </si>
  <si>
    <t>8.090604704094344e-23</t>
  </si>
  <si>
    <t>1.3466429301774228e-23</t>
  </si>
  <si>
    <t>P50</t>
  </si>
  <si>
    <t>Hubble law</t>
  </si>
  <si>
    <t>v_rec = H0*d</t>
  </si>
  <si>
    <t>v_rec/H0</t>
  </si>
  <si>
    <t>v_rec</t>
  </si>
  <si>
    <t>H0=[0.5, 2]</t>
  </si>
  <si>
    <t>4.1490021216572615</t>
  </si>
  <si>
    <t>0.0356671736555454</t>
  </si>
  <si>
    <t>0.3823639403565685</t>
  </si>
  <si>
    <t>4.140694123824971</t>
  </si>
  <si>
    <t>0.3918567879678031</t>
  </si>
  <si>
    <t>7.701448840360119</t>
  </si>
  <si>
    <t>12.05855104813333</t>
  </si>
  <si>
    <t>4.094492075015685</t>
  </si>
  <si>
    <t>0.5894961670848484</t>
  </si>
  <si>
    <t>0.4105038329151514</t>
  </si>
  <si>
    <t>4.024294471170503</t>
  </si>
  <si>
    <t>0.5570897411320133</t>
  </si>
  <si>
    <t>0.44291025886798674</t>
  </si>
  <si>
    <t>3.9837055256898335</t>
  </si>
  <si>
    <t>0.530653109381192</t>
  </si>
  <si>
    <t>0.46934689061880797</t>
  </si>
  <si>
    <t>4.01177104233291</t>
  </si>
  <si>
    <t>0.48692450137730225</t>
  </si>
  <si>
    <t>0.5130754986226977</t>
  </si>
  <si>
    <t>P51</t>
  </si>
  <si>
    <t>Axial magnetic dipole field</t>
  </si>
  <si>
    <t>B = mu0*m_dip/(2*pi*r**3)</t>
  </si>
  <si>
    <t>(mu0*m_dip/(2*pi*B))**(1/3)</t>
  </si>
  <si>
    <t>m_dip=[1, 4]</t>
  </si>
  <si>
    <t>mu0=1; pi=3.14159</t>
  </si>
  <si>
    <t>0.341392127748206*2**(2/3)*(m_dip/B)**(1/3)</t>
  </si>
  <si>
    <t>p0*(B**p1)**p2</t>
  </si>
  <si>
    <t>[0.817195733930562, -1.33332050000000, 1/4]</t>
  </si>
  <si>
    <t>8.849430186075369e-24</t>
  </si>
  <si>
    <t>8.847667867318838e-24</t>
  </si>
  <si>
    <t>3.3091554e-10</t>
  </si>
  <si>
    <t>0.5911329858469497</t>
  </si>
  <si>
    <t>8.835490463207128e-24</t>
  </si>
  <si>
    <t>8.899950718514497e-24</t>
  </si>
  <si>
    <t>8.892939796676125e-24</t>
  </si>
  <si>
    <t>9.01028811698968e-24</t>
  </si>
  <si>
    <t>1.7944554956921048e-23</t>
  </si>
  <si>
    <t>9.372872293426781e-24</t>
  </si>
  <si>
    <t>1.7949195999118885e-23</t>
  </si>
  <si>
    <t>9.734329357531238e-24</t>
  </si>
  <si>
    <t>1.7937351457497798e-23</t>
  </si>
  <si>
    <t>1.0686124519926508e-23</t>
  </si>
  <si>
    <t>1.7942273656406163e-23</t>
  </si>
  <si>
    <t>P52</t>
  </si>
  <si>
    <t>Exponential attenuation</t>
  </si>
  <si>
    <t>I = I0*exp(-mu*x)</t>
  </si>
  <si>
    <t>log(I0/I)/mu</t>
  </si>
  <si>
    <t>I</t>
  </si>
  <si>
    <t>I0=[8, 12]; mu=[0.1, 0.5]</t>
  </si>
  <si>
    <t>p0 + p1*log(I**p2*I0)</t>
  </si>
  <si>
    <t>[6.03100300000000e-8, 2.49554300000000, -1]</t>
  </si>
  <si>
    <t>1.6407827490945718e-23</t>
  </si>
  <si>
    <t>1.5058500221143898e-23</t>
  </si>
  <si>
    <t>3.6154666e-14</t>
  </si>
  <si>
    <t>0.0201951389701607</t>
  </si>
  <si>
    <t>1.67347051506966e-23</t>
  </si>
  <si>
    <t>7.976044048906001e-24</t>
  </si>
  <si>
    <t>6.273234851448171e-24</t>
  </si>
  <si>
    <t>1.701183421841482e-23</t>
  </si>
  <si>
    <t>3.051509994419538e-24</t>
  </si>
  <si>
    <t>1.7680591216644372e-23</t>
  </si>
  <si>
    <t>3.0490821165174777e-24</t>
  </si>
  <si>
    <t>1.8365379564807515e-23</t>
  </si>
  <si>
    <t>3.0475996501746167e-24</t>
  </si>
  <si>
    <t>2.017127215263177e-23</t>
  </si>
  <si>
    <t>3.0497876487561936e-24</t>
  </si>
  <si>
    <t>P53</t>
  </si>
  <si>
    <t>Linear thermal expansion</t>
  </si>
  <si>
    <t>L = L0*(1+alpha*(T-T0))</t>
  </si>
  <si>
    <t>T0 + (L/L0 - 1)/alpha</t>
  </si>
  <si>
    <t>L0=[0.5, 2]; alpha=[1.00000e-05, 3.00000e-05]</t>
  </si>
  <si>
    <t>T0=293.15</t>
  </si>
  <si>
    <t>293.15 + (L/L0 - 1)/alpha</t>
  </si>
  <si>
    <t>L*p1 + p0</t>
  </si>
  <si>
    <t>[-43710.1196923248, 35909.3516924947]</t>
  </si>
  <si>
    <t>8.91517618864398e-15</t>
  </si>
  <si>
    <t>1.598017193686457e-15</t>
  </si>
  <si>
    <t>2.911425e-06</t>
  </si>
  <si>
    <t>0.1183352297606214</t>
  </si>
  <si>
    <t>[0, 5, 7]</t>
  </si>
  <si>
    <t>8.998610701528551e-15</t>
  </si>
  <si>
    <t>8.657623251807016e-20</t>
  </si>
  <si>
    <t>8.516199532213081e-20</t>
  </si>
  <si>
    <t>9.17948172982107e-15</t>
  </si>
  <si>
    <t>1.686155286385942e-17</t>
  </si>
  <si>
    <t>9.546626162746908e-15</t>
  </si>
  <si>
    <t>1.6861554867435655e-17</t>
  </si>
  <si>
    <t>9.92096800879462e-15</t>
  </si>
  <si>
    <t>1.6861554292629192e-17</t>
  </si>
  <si>
    <t>1.0888319131074362e-14</t>
  </si>
  <si>
    <t>1.6861555078625414e-17</t>
  </si>
  <si>
    <t>P55</t>
  </si>
  <si>
    <t>Malus law with angular offset</t>
  </si>
  <si>
    <t>I = I0*cos(theta-theta0)**2</t>
  </si>
  <si>
    <t>theta0 + acos(sqrt(I/I0))</t>
  </si>
  <si>
    <t>theta</t>
  </si>
  <si>
    <t>I0=[5, 10]; theta0=[0, 0.4]</t>
  </si>
  <si>
    <t>p0 + I*p1</t>
  </si>
  <si>
    <t>[1.52694000000000, -0.165415700000000]</t>
  </si>
  <si>
    <t>0.0593420066143318</t>
  </si>
  <si>
    <t>0.0593147904321196</t>
  </si>
  <si>
    <t>2.775557561562892e-17</t>
  </si>
  <si>
    <t>9.985983e-05</t>
  </si>
  <si>
    <t>1.2016829570041765e-06</t>
  </si>
  <si>
    <t>[0, 1, 2, 6]</t>
  </si>
  <si>
    <t>0.00014142028759811943</t>
  </si>
  <si>
    <t>0.9976002307144827</t>
  </si>
  <si>
    <t>0.0006871454581847733</t>
  </si>
  <si>
    <t>0.9861920490592107</t>
  </si>
  <si>
    <t>0.0008813072458333471</t>
  </si>
  <si>
    <t>0.9771823307714274</t>
  </si>
  <si>
    <t>0.00014426283537884163</t>
  </si>
  <si>
    <t>0.0023997692855173445</t>
  </si>
  <si>
    <t>0.0001500327831128449</t>
  </si>
  <si>
    <t>0.002399769285517344</t>
  </si>
  <si>
    <t>0.00015591586707692666</t>
  </si>
  <si>
    <t>0.00017111854799372445</t>
  </si>
  <si>
    <t>P56</t>
  </si>
  <si>
    <t>Spatial sinusoidal wave</t>
  </si>
  <si>
    <t>y = A*cos(k*x + phi)</t>
  </si>
  <si>
    <t>(acos(y/A) - phi)/k</t>
  </si>
  <si>
    <t>y</t>
  </si>
  <si>
    <t>A=[2, 4]; k=[0.6, 1]; phi=[0.1, 0.3]</t>
  </si>
  <si>
    <t>(-phi + acos(y/A))/k</t>
  </si>
  <si>
    <t>p0 + atanh(p1 + Mod(p1*atan(p3*y) + p2, p4))</t>
  </si>
  <si>
    <t>[1.93608830000000, -1, 1, 0.454339150000000, 2]</t>
  </si>
  <si>
    <t>0.1385567297158252</t>
  </si>
  <si>
    <t>0.1306006393556431</t>
  </si>
  <si>
    <t>0.9103420580507462</t>
  </si>
  <si>
    <t>4.6154575e-05</t>
  </si>
  <si>
    <t>3.157675249231521</t>
  </si>
  <si>
    <t>8.939868761508918e-05</t>
  </si>
  <si>
    <t>0.9997584779449109</t>
  </si>
  <si>
    <t>0.00035318809525026237</t>
  </si>
  <si>
    <t>0.9988552136551743</t>
  </si>
  <si>
    <t>0.23674451709484007</t>
  </si>
  <si>
    <t>0.01493129588690495</t>
  </si>
  <si>
    <t>1.3194986833303414e-05</t>
  </si>
  <si>
    <t>3.423048735264171e-05</t>
  </si>
  <si>
    <t>0.9999657695126474</t>
  </si>
  <si>
    <t>0.0005527454697628687</t>
  </si>
  <si>
    <t>0.0014105514376071468</t>
  </si>
  <si>
    <t>0.9985894485623927</t>
  </si>
  <si>
    <t>2.5824732346918692e-05</t>
  </si>
  <si>
    <t>6.201210257074313e-05</t>
  </si>
  <si>
    <t>0.9999379878974293</t>
  </si>
  <si>
    <t>5.58118115413522e-05</t>
  </si>
  <si>
    <t>0.00012223288983421253</t>
  </si>
  <si>
    <t>0.9998777671101657</t>
  </si>
  <si>
    <t>P57</t>
  </si>
  <si>
    <t>Damped harmonic oscillator</t>
  </si>
  <si>
    <t>x = A*exp(-gamma*t)*cos(omega_d*t + phi)</t>
  </si>
  <si>
    <t>gamma</t>
  </si>
  <si>
    <t>x, t</t>
  </si>
  <si>
    <t>A=[2, 4]; omega_d=[0.4, 0.8]; phi=[0.1, 0.2]</t>
  </si>
  <si>
    <t>atanh(p0 + Mod(p1 + atan(p2 + atan(p3*((p6 + p7*x**p0)*((p4 + t)**t)**p5)**p8*(p9 + t)**p0)), p10))</t>
  </si>
  <si>
    <t>[-1, 1, -0.187933560000000, 0.953254900000000, 1.34858250000000, -0.561257060000000, -1.27617180000000, 4.01248550000000, 1.00652950000000, 0.00384512940000000, 2]</t>
  </si>
  <si>
    <t>[p0, p1, p2, p3, p4, p5, p6, p7, p8, p9, p10]</t>
  </si>
  <si>
    <t>2.3516644043347672e-06</t>
  </si>
  <si>
    <t>2.273123991675345e-06</t>
  </si>
  <si>
    <t>0.9998222236064958</t>
  </si>
  <si>
    <t>3.355594e-06</t>
  </si>
  <si>
    <t>0.0031503740186218</t>
  </si>
  <si>
    <t>0.0006658304672682424</t>
  </si>
  <si>
    <t>0.9972038209124464</t>
  </si>
  <si>
    <t>0.2336224271628341</t>
  </si>
  <si>
    <t>0.8628571977068251</t>
  </si>
  <si>
    <t>0.41876955204473454</t>
  </si>
  <si>
    <t>0.8057790683718318</t>
  </si>
  <si>
    <t>0.0006984800540002858</t>
  </si>
  <si>
    <t>0.0028755423897791456</t>
  </si>
  <si>
    <t>0.9971244576102208</t>
  </si>
  <si>
    <t>0.000770315178326027</t>
  </si>
  <si>
    <t>0.0030497531356692845</t>
  </si>
  <si>
    <t>0.9969502468643308</t>
  </si>
  <si>
    <t>0.0008512862046569158</t>
  </si>
  <si>
    <t>0.0032441590518893157</t>
  </si>
  <si>
    <t>0.9967558409481108</t>
  </si>
  <si>
    <t>0.0010963306332146636</t>
  </si>
  <si>
    <t>0.0038115626691194743</t>
  </si>
  <si>
    <t>0.9961884373308805</t>
  </si>
  <si>
    <t>P58</t>
  </si>
  <si>
    <t>van der Waals isotherm family</t>
  </si>
  <si>
    <t>P = Rgas*T_par/(V_m-b) - a/V_m**2</t>
  </si>
  <si>
    <t>V_m - Rgas*T_par/(P + a/V_m**2)</t>
  </si>
  <si>
    <t>b</t>
  </si>
  <si>
    <t>P, V_m</t>
  </si>
  <si>
    <t>T_par=[1, 3]; a=[0.5, 2]</t>
  </si>
  <si>
    <t>Rgas=1</t>
  </si>
  <si>
    <t>-T_par/(P + a/V_m**2) + V_m</t>
  </si>
  <si>
    <t>(P**p0*(p0*atan(P**p0*p4 + V_m + p3) + p2) + V_m + p1)*tanh(V_m*atan(V_m)**p0)**p0</t>
  </si>
  <si>
    <t>[-1, -0.260907530000000, 0.0213545710000000, 0.102972910000000, -0.394768030000000]</t>
  </si>
  <si>
    <t>7.421417851809986e-07</t>
  </si>
  <si>
    <t>5.972735097554329e-07</t>
  </si>
  <si>
    <t>0.9999748479547216</t>
  </si>
  <si>
    <t>5.492297e-07</t>
  </si>
  <si>
    <t>0.5853896736608803</t>
  </si>
  <si>
    <t>0.0008566017699083512</t>
  </si>
  <si>
    <t>0.9995263610994075</t>
  </si>
  <si>
    <t>0.0010225589957413529</t>
  </si>
  <si>
    <t>0.9994192567730276</t>
  </si>
  <si>
    <t>0.0011273546503796715</t>
  </si>
  <si>
    <t>0.999351645589027</t>
  </si>
  <si>
    <t>0.0010485051345994125</t>
  </si>
  <si>
    <t>0.0005648900971495681</t>
  </si>
  <si>
    <t>0.9994351099028504</t>
  </si>
  <si>
    <t>0.0016791853262581088</t>
  </si>
  <si>
    <t>0.00086269754993542</t>
  </si>
  <si>
    <t>0.9991373024500646</t>
  </si>
  <si>
    <t>0.002655722371420672</t>
  </si>
  <si>
    <t>0.00130751118205854</t>
  </si>
  <si>
    <t>0.9986924888179414</t>
  </si>
  <si>
    <t>0.006748797413161474</t>
  </si>
  <si>
    <t>0.003017180000176937</t>
  </si>
  <si>
    <t>0.9969828199998231</t>
  </si>
  <si>
    <t>P59</t>
  </si>
  <si>
    <t>Einstein solid heat capacity</t>
  </si>
  <si>
    <t>C = 3*N*kb*(theta_E/T)**2*exp(theta_E/T)/(exp(theta_E/T)-1)**2</t>
  </si>
  <si>
    <t>C*(exp(theta_E/T)-1)**2/(3*kb*(theta_E/T)**2*exp(theta_E/T))</t>
  </si>
  <si>
    <t>N</t>
  </si>
  <si>
    <t>C, T</t>
  </si>
  <si>
    <t>theta_E=[2, 6]</t>
  </si>
  <si>
    <t>C*T**2*(exp(theta_E/T) - 1)**2*exp(-theta_E/T)/(3*theta_E**2)</t>
  </si>
  <si>
    <t>C*p0*(T*(T**p3 + p2)**p4 + p1)**p5</t>
  </si>
  <si>
    <t>[0.164532720000000, -0.505179050000000, 1, 2, -1/2, -1]</t>
  </si>
  <si>
    <t>3.700673389353514e-11</t>
  </si>
  <si>
    <t>1.711713017730713e-13</t>
  </si>
  <si>
    <t>0.999999999994578</t>
  </si>
  <si>
    <t>3.227853e-05</t>
  </si>
  <si>
    <t>5.401869520847599</t>
  </si>
  <si>
    <t>3.1919270630537255e-10</t>
  </si>
  <si>
    <t>0.9999999999929527</t>
  </si>
  <si>
    <t>6.502022145207606e-10</t>
  </si>
  <si>
    <t>0.9999999999885335</t>
  </si>
  <si>
    <t>9.795743281303106e-10</t>
  </si>
  <si>
    <t>0.9999999999849787</t>
  </si>
  <si>
    <t>3.256084796856418e-10</t>
  </si>
  <si>
    <t>7.047242559836209e-12</t>
  </si>
  <si>
    <t>3.3863154211912706e-10</t>
  </si>
  <si>
    <t>7.047242560206524e-12</t>
  </si>
  <si>
    <t>3.5190995869656964e-10</t>
  </si>
  <si>
    <t>7.047242560087964e-12</t>
  </si>
  <si>
    <t>3.86223174632539e-10</t>
  </si>
  <si>
    <t>7.047242560242677e-12</t>
  </si>
  <si>
    <t>best_structural_match_in_ID</t>
  </si>
  <si>
    <t>comparison_context</t>
  </si>
  <si>
    <t>1</t>
  </si>
  <si>
    <t>否</t>
  </si>
  <si>
    <t>自变量: E_n; 物理参数: m; 固定常量: c=6.5; para_eq参数: p0, p1, p2, p3, p4, p5</t>
  </si>
  <si>
    <t>2</t>
  </si>
  <si>
    <t>自变量: E_n; 物理参数: m; 固定常量: c=6.5; para_eq参数: p0, p1, p2, p3, p4</t>
  </si>
  <si>
    <t>3</t>
  </si>
  <si>
    <t>自变量: E_n; 物理参数: m; 固定常量: c=6.5; para_eq参数: p0, p1, p2, p3</t>
  </si>
  <si>
    <t>4</t>
  </si>
  <si>
    <t>自变量: E_n; 物理参数: m; 固定常量: c=6.5; para_eq参数: p0, p1, p2, p3, p4, p5, p6, p7, p8, p9</t>
  </si>
  <si>
    <t>5</t>
  </si>
  <si>
    <t>自变量: E_n; 物理参数: m; 固定常量: c=6.5; para_eq参数: p0, p1, p2, p3, p4, p5, p6, p7, p8</t>
  </si>
  <si>
    <t>6</t>
  </si>
  <si>
    <t>7</t>
  </si>
  <si>
    <t>8</t>
  </si>
  <si>
    <t>9</t>
  </si>
  <si>
    <t>是</t>
  </si>
  <si>
    <t>自变量: E_n; 物理参数: m; 固定常量: c=6.5; para_eq参数: p0, p1</t>
  </si>
  <si>
    <t>10</t>
  </si>
  <si>
    <t>自变量: d; 物理参数: m; 固定常量: h=3; pi=3.14159; para_eq参数: p0, p1</t>
  </si>
  <si>
    <t>自变量: d; 物理参数: m; 固定常量: h=3; pi=3.14159; para_eq参数: p0, p1, p2</t>
  </si>
  <si>
    <t>自变量: d; 物理参数: m; 固定常量: h=3; pi=3.14159; para_eq参数: p0</t>
  </si>
  <si>
    <t>自变量: E_n, omega; 物理参数: m, omega_0; 固定常量: (none); para_eq参数: p0, p1, p2, p3, p4</t>
  </si>
  <si>
    <t>自变量: E_n, omega; 物理参数: m, omega_0; 固定常量: (none); para_eq参数: p0, p1, p2, p3, p4, p5</t>
  </si>
  <si>
    <t>自变量: E_n, omega; 物理参数: m, omega_0; 固定常量: (none); para_eq参数: p0, p1, p2, p3, p4, p5, p6, p7</t>
  </si>
  <si>
    <t>自变量: E_n, omega; 物理参数: m, omega_0; 固定常量: (none); para_eq参数: p0, p1, p2, p3</t>
  </si>
  <si>
    <t>自变量: E_n, omega; 物理参数: m, omega_0; 固定常量: (none); para_eq参数: p0, p1, p2</t>
  </si>
  <si>
    <t>自变量: Pwr; 物理参数: q; 固定常量: c=3; epsilon=3; pi=3.14159; para_eq参数: p0, p1</t>
  </si>
  <si>
    <t>自变量: Pwr; 物理参数: q; 固定常量: c=3; epsilon=3; pi=3.14159; para_eq参数: p0, p1, p2</t>
  </si>
  <si>
    <t>自变量: Pwr; 物理参数: q; 固定常量: c=3; epsilon=3; pi=3.14159; para_eq参数: p0</t>
  </si>
  <si>
    <t>自变量: Pwr; 物理参数: q; 固定常量: c=3; epsilon=3; pi=3.14159; para_eq参数: p0, p1, p2, p3</t>
  </si>
  <si>
    <t>自变量: E_den; 物理参数: epsilon; 固定常量: (none); para_eq参数: (none)</t>
  </si>
  <si>
    <t>自变量: E_den; 物理参数: epsilon; 固定常量: (none); para_eq参数: p0</t>
  </si>
  <si>
    <t>自变量: k; 物理参数: d; 固定常量: c=1.5; pi=3.14159; para_eq参数: p0, p1, p2, p3</t>
  </si>
  <si>
    <t>自变量: k; 物理参数: d; 固定常量: c=1.5; pi=3.14159; para_eq参数: p0, p1, p2</t>
  </si>
  <si>
    <t>自变量: E_n, theta; 物理参数: mom; 固定常量: (none); para_eq参数: p0, p1, p2, p3</t>
  </si>
  <si>
    <t>自变量: E_n, theta; 物理参数: mom; 固定常量: (none); para_eq参数: p0, p1</t>
  </si>
  <si>
    <t>自变量: E_n, theta; 物理参数: mom; 固定常量: (none); para_eq参数: p0, p1, p2</t>
  </si>
  <si>
    <t>自变量: E_n, theta; 物理参数: mom; 固定常量: (none); para_eq参数: p0</t>
  </si>
  <si>
    <t>自变量: E_n, By, Bz; 物理参数: mom; 固定常量: (none); para_eq参数: p0, p1, p2, p3, p4, p5, p6, p7</t>
  </si>
  <si>
    <t>自变量: E_n, By, Bz; 物理参数: mom; 固定常量: (none); para_eq参数: p0, p1, p2, p3, p4, p5, p6, p7, p8, p9</t>
  </si>
  <si>
    <t>自变量: E_n, By, Bz; 物理参数: mom; 固定常量: (none); para_eq参数: p0, p1, p2, p3, p4, p5, p6</t>
  </si>
  <si>
    <t>自变量: E_n, By, Bz; 物理参数: mom; 固定常量: (none); para_eq参数: p0, p1, p2, p3, p4</t>
  </si>
  <si>
    <t>自变量: E_n, By, Bz; 物理参数: mom; 固定常量: (none); para_eq参数: p0, p1, p2, p3, p4, p5, p6, p7, p8</t>
  </si>
  <si>
    <t>自变量: E_n, By, Bz; 物理参数: mom; 固定常量: (none); para_eq参数: p0, p1, p2, p3, p4, p5</t>
  </si>
  <si>
    <t>自变量: r; 物理参数: mom; 固定常量: q=3; para_eq参数: p0, p1</t>
  </si>
  <si>
    <t>自变量: r; 物理参数: mom; 固定常量: q=3; para_eq参数: p0, p1, p2</t>
  </si>
  <si>
    <t>自变量: r; 物理参数: mom; 固定常量: q=3; para_eq参数: p0</t>
  </si>
  <si>
    <t>自变量: Pwr, omega; 物理参数: r, omega_0; 固定常量: c=1.5; epsilon=1.5; pi=3.14159; para_eq参数: p0, p1, p2, p3</t>
  </si>
  <si>
    <t>自变量: Pwr, omega; 物理参数: r, omega_0; 固定常量: c=1.5; epsilon=1.5; pi=3.14159; para_eq参数: p0, p1, p2, p3, p4, p5, p6</t>
  </si>
  <si>
    <t>自变量: Pwr, omega; 物理参数: r, omega_0; 固定常量: c=1.5; epsilon=1.5; pi=3.14159; para_eq参数: p0, p1, p2, p3, p4, p5</t>
  </si>
  <si>
    <t>自变量: Pwr, omega; 物理参数: r, omega_0; 固定常量: c=1.5; epsilon=1.5; pi=3.14159; para_eq参数: p0, p1, p2, p3, p4, p5, p6, p7, p8</t>
  </si>
  <si>
    <t>自变量: Pwr, omega; 物理参数: r, omega_0; 固定常量: c=1.5; epsilon=1.5; pi=3.14159; para_eq参数: p0, p1, p2, p3, p4, p5, p6, p7</t>
  </si>
  <si>
    <t>自变量: Pol, Ef; 物理参数: alpha; 固定常量: epsilon=1.5; para_eq参数: p0, p1, p2, p3, p4, p5</t>
  </si>
  <si>
    <t>自变量: Pol, Ef; 物理参数: alpha; 固定常量: epsilon=1.5; para_eq参数: p0, p1, p2, p3, p4</t>
  </si>
  <si>
    <t>自变量: Pol, Ef; 物理参数: alpha; 固定常量: epsilon=1.5; para_eq参数: p0, p1, p2, p3</t>
  </si>
  <si>
    <t>自变量: x, Ef; 物理参数: omega_0; 固定常量: q=2; m=2; para_eq参数: p0, p1, p2</t>
  </si>
  <si>
    <t>自变量: U; 物理参数: r1; 固定常量: G=3; m1=3; m2=3; para_eq参数: p0, p1, p2, p3</t>
  </si>
  <si>
    <t>自变量: U; 物理参数: r1; 固定常量: G=3; m1=3; m2=3; para_eq参数: p0, p1, p2, p3, p4, p5, p6, p7</t>
  </si>
  <si>
    <t>自变量: U; 物理参数: r1; 固定常量: G=3; m1=3; m2=3; para_eq参数: p0, p1, p2, p3, p4</t>
  </si>
  <si>
    <t>自变量: U; 物理参数: r1; 固定常量: G=3; m1=3; m2=3; para_eq参数: p0, p1, p2, p3, p4, p5, p6</t>
  </si>
  <si>
    <t>自变量: U; 物理参数: r1; 固定常量: G=3; m1=3; m2=3; para_eq参数: p0, p1, p2</t>
  </si>
  <si>
    <t>自变量: E_n; 物理参数: V1, T; 固定常量: kb=3; n=3; para_eq参数: p0, p1</t>
  </si>
  <si>
    <t>自变量: E_n; 物理参数: V1, T; 固定常量: kb=3; n=3; para_eq参数: p0, p1, p2</t>
  </si>
  <si>
    <t>自变量: E_n; 物理参数: g_; 固定常量: h=3; Jz=3; mom=3; pi=3.14159; para_eq参数: p0</t>
  </si>
  <si>
    <t>自变量: E_n; 物理参数: g_; 固定常量: h=3; Jz=3; mom=3; pi=3.14159; para_eq参数: p0, p1</t>
  </si>
  <si>
    <t>自变量: n; 物理参数: T, n_0; 固定常量: kb=2; mom=2; para_eq参数: p0, p1, p2, p3, p4, p5, p6</t>
  </si>
  <si>
    <t>自变量: n; 物理参数: T, n_0; 固定常量: kb=2; mom=2; para_eq参数: p0, p1, p2, p3, p4, p5, p6, p7</t>
  </si>
  <si>
    <t>自变量: n; 物理参数: T, n_0; 固定常量: kb=2; mom=2; para_eq参数: p0, p1, p2, p3, p4, p5</t>
  </si>
  <si>
    <t>自变量: n; 物理参数: T, n_0; 固定常量: kb=2; mom=2; para_eq参数: p0, p1, p2, p3, p4</t>
  </si>
  <si>
    <t>自变量: v, k; 物理参数: d; 固定常量: h=3; pi=3.14159; para_eq参数: p0, p1</t>
  </si>
  <si>
    <t>自变量: v, k; 物理参数: d; 固定常量: h=3; pi=3.14159; para_eq参数: p0, p1, p2</t>
  </si>
  <si>
    <t>自变量: v, k; 物理参数: d; 固定常量: h=3; pi=3.14159; para_eq参数: p0</t>
  </si>
  <si>
    <t>自变量: foc; 物理参数: d1, d2; 固定常量: (none); para_eq参数: p0, p1, p2</t>
  </si>
  <si>
    <t>自变量: foc; 物理参数: d1, d2; 固定常量: (none); para_eq参数: p0, p1</t>
  </si>
  <si>
    <t>自变量: foc; 物理参数: d1, d2; 固定常量: (none); para_eq参数: p0</t>
  </si>
  <si>
    <t>自变量: E_n; 物理参数: omega; 固定常量: h=3; kb=3; pi=3.14159; para_eq参数: p0, p1, p2, p3, p4</t>
  </si>
  <si>
    <t>自变量: E_n; 物理参数: omega; 固定常量: h=3; kb=3; pi=3.14159; para_eq参数: p0, p1, p2, p3, p4, p5</t>
  </si>
  <si>
    <t>自变量: E_n; 物理参数: omega; 固定常量: h=3; kb=3; pi=3.14159; para_eq参数: p0, p1, p2, p3</t>
  </si>
  <si>
    <t>自变量: prob, t, omega; 物理参数: p_d, omega_0; 固定常量: h=2; pi=3.14159; para_eq参数: p0, p1, p2, p3, p4, p5</t>
  </si>
  <si>
    <t>自变量: prob, t, omega; 物理参数: p_d, omega_0; 固定常量: h=2; pi=3.14159; para_eq参数: p0, p1, p2, p3, p4</t>
  </si>
  <si>
    <t>自变量: Volt, r; 物理参数: q; 固定常量: c=6.5; epsilon=3; pi=3.14159; para_eq参数: p0, p1, p2, p3</t>
  </si>
  <si>
    <t>自变量: Volt, r; 物理参数: q; 固定常量: c=6.5; epsilon=3; pi=3.14159; para_eq参数: p0, p1, p2</t>
  </si>
  <si>
    <t>自变量: Volt, r; 物理参数: q; 固定常量: c=6.5; epsilon=3; pi=3.14159; para_eq参数: p0, p1</t>
  </si>
  <si>
    <t>自变量: t, t1; 物理参数: u; 固定常量: c=6.5; para_eq参数: p0, p1</t>
  </si>
  <si>
    <t>自变量: t, t1; 物理参数: u; 固定常量: c=6.5; para_eq参数: p0, p1, p2, p3</t>
  </si>
  <si>
    <t>自变量: rho_c; 物理参数: rho_c_0; 固定常量: c=6.5; para_eq参数: p0, p1, p2</t>
  </si>
  <si>
    <t>自变量: m; 物理参数: m_0; 固定常量: c=6.5; para_eq参数: p0, p1, p2</t>
  </si>
  <si>
    <t>自变量: m; 物理参数: m_0; 固定常量: c=6.5; para_eq参数: p0, p1, p2, p3, p4, p5</t>
  </si>
  <si>
    <t>自变量: m; 物理参数: m_0; 固定常量: c=6.5; para_eq参数: p0, p1, p2, p3</t>
  </si>
  <si>
    <t>自变量: m; 物理参数: m_0; 固定常量: c=6.5; para_eq参数: p0, p1</t>
  </si>
  <si>
    <t>自变量: m; 物理参数: m_0; 固定常量: c=6.5; para_eq参数: p0, p1, p2, p3, p4</t>
  </si>
  <si>
    <t>自变量: E_n, theta; 物理参数: p_d; 固定常量: (none); para_eq参数: p0, p1</t>
  </si>
  <si>
    <t>自变量: E_n, theta; 物理参数: p_d; 固定常量: (none); para_eq参数: p0, p1, p2, p3, p4</t>
  </si>
  <si>
    <t>自变量: E_n, theta; 物理参数: p_d; 固定常量: (none); para_eq参数: p0</t>
  </si>
  <si>
    <t>自变量: B; 物理参数: I, R; 固定常量: mu0=1; para_eq参数: p0, p1, p2, p3, p4, p5, p6, p7</t>
  </si>
  <si>
    <t>自变量: B; 物理参数: I, R; 固定常量: mu0=1; para_eq参数: p0, p1, p2, p3</t>
  </si>
  <si>
    <t>自变量: B; 物理参数: I, R; 固定常量: mu0=1; para_eq参数: p0, p1, p2, p3, p4, p5, p6</t>
  </si>
  <si>
    <t>自变量: T; 物理参数: M; 固定常量: G=2; pi=3.14159; para_eq参数: p0, p1, p2, p3</t>
  </si>
  <si>
    <t>自变量: T; 物理参数: M; 固定常量: G=2; pi=3.14159; para_eq参数: p0, p1</t>
  </si>
  <si>
    <t>自变量: T; 物理参数: M; 固定常量: G=2; pi=3.14159; para_eq参数: p0, p1, p2</t>
  </si>
  <si>
    <t>自变量: T; 物理参数: M; 固定常量: G=2; pi=3.14159; para_eq参数: p0, p1, p2, p3, p4</t>
  </si>
  <si>
    <t>自变量: x; 物理参数: x0, v0, a; 固定常量: (none); para_eq参数: p0, p1, p2, p3</t>
  </si>
  <si>
    <t>自变量: x; 物理参数: x0, v0, a; 固定常量: (none); para_eq参数: p0, p1, p2</t>
  </si>
  <si>
    <t>自变量: x; 物理参数: x0, v0, a; 固定常量: (none); para_eq参数: p0, p1</t>
  </si>
  <si>
    <t>自变量: v; 物理参数: v_inf, v0, tau; 固定常量: (none); para_eq参数: p0, p1, p2, p3, p4</t>
  </si>
  <si>
    <t>自变量: v; 物理参数: v_inf, v0, tau; 固定常量: (none); para_eq参数: p0, p1, p2, p3</t>
  </si>
  <si>
    <t>自变量: v; 物理参数: v_inf, v0, tau; 固定常量: (none); para_eq参数: p0, p1, p2, p3, p4, p5</t>
  </si>
  <si>
    <t>自变量: v; 物理参数: v_inf, v0, tau; 固定常量: (none); para_eq参数: p0, p1, p2, p3, p4, p5, p6</t>
  </si>
  <si>
    <t>自变量: v; 物理参数: v_inf, v0, tau; 固定常量: (none); para_eq参数: p0, p1, p2, p3, p4, p5, p6, p7</t>
  </si>
  <si>
    <t>自变量: v; 物理参数: v_t; 固定常量: g=9.81; para_eq参数: p0, p1, p2, p3, p4, p5, p6</t>
  </si>
  <si>
    <t>自变量: v; 物理参数: v_t; 固定常量: g=9.81; para_eq参数: p0, p1, p2, p3, p4, p5</t>
  </si>
  <si>
    <t>自变量: v; 物理参数: v_t; 固定常量: g=9.81; para_eq参数: p0, p1, p2, p3, p4</t>
  </si>
  <si>
    <t>自变量: v; 物理参数: v_t; 固定常量: g=9.81; para_eq参数: p0, p1, p2, p3</t>
  </si>
  <si>
    <t>自变量: v; 物理参数: v_t; 固定常量: g=9.81; para_eq参数: p0, p1, p2</t>
  </si>
  <si>
    <t>自变量: F_drag; 物理参数: b, c2; 固定常量: (none); para_eq参数: p0, p1, p2, p3</t>
  </si>
  <si>
    <t>自变量: F_drag; 物理参数: b, c2; 固定常量: (none); para_eq参数: p0, p1, p2, p3, p4, p5, p6, p7, p8</t>
  </si>
  <si>
    <t>自变量: F_drag; 物理参数: b, c2; 固定常量: (none); para_eq参数: p0, p1</t>
  </si>
  <si>
    <t>自变量: F_drag; 物理参数: b, c2; 固定常量: (none); para_eq参数: p0</t>
  </si>
  <si>
    <t>自变量: v; 物理参数: M, a_orbit; 固定常量: G=1; para_eq参数: p0, p1, p2, p3, p4</t>
  </si>
  <si>
    <t>自变量: v; 物理参数: M, a_orbit; 固定常量: G=1; para_eq参数: p0, p1, p2, p3</t>
  </si>
  <si>
    <t>自变量: z; 物理参数: r_s; 固定常量: (none); para_eq参数: p0, p1, p2, p3, p4</t>
  </si>
  <si>
    <t>自变量: z; 物理参数: r_s; 固定常量: (none); para_eq参数: p0, p1, p2, p3, p4, p5, p6</t>
  </si>
  <si>
    <t>自变量: z; 物理参数: r_s; 固定常量: (none); para_eq参数: p0, p1, p2, p3, p4, p5</t>
  </si>
  <si>
    <t>自变量: z; 物理参数: r_s; 固定常量: (none); para_eq参数: p0, p1, p2, p3</t>
  </si>
  <si>
    <t>自变量: V; 物理参数: V_inf, tau; 固定常量: (none); para_eq参数: p0, p1, p2, p3, p4</t>
  </si>
  <si>
    <t>自变量: V; 物理参数: V_inf, tau; 固定常量: (none); para_eq参数: p0, p1, p2, p3</t>
  </si>
  <si>
    <t>自变量: V; 物理参数: V_inf, tau; 固定常量: (none); para_eq参数: p0, p1, p2</t>
  </si>
  <si>
    <t>自变量: Amp; 物理参数: a0, omega0, gamma; 固定常量: (none); para_eq参数: p0, p1, p2, p3, p4</t>
  </si>
  <si>
    <t>自变量: Amp; 物理参数: a0, omega0, gamma; 固定常量: (none); para_eq参数: p0, p1, p2, p3, p4, p5</t>
  </si>
  <si>
    <t>自变量: Amp; 物理参数: a0, omega0, gamma; 固定常量: (none); para_eq参数: p0, p1, p2, p3</t>
  </si>
  <si>
    <t>自变量: Amp; 物理参数: a0, omega0, gamma; 固定常量: (none); para_eq参数: p0, p1, p2</t>
  </si>
  <si>
    <t>自变量: w; 物理参数: w0, z_R; 固定常量: (none); para_eq参数: p0, p1, p2, p3</t>
  </si>
  <si>
    <t>自变量: w; 物理参数: w0, z_R; 固定常量: (none); para_eq参数: p0, p1, p2</t>
  </si>
  <si>
    <t>自变量: w; 物理参数: w0, z_R; 固定常量: (none); para_eq参数: p0, p1</t>
  </si>
  <si>
    <t>自变量: w; 物理参数: w0, z_R; 固定常量: (none); para_eq参数: p0, p1, p2, p3, p4, p5, p6, p7</t>
  </si>
  <si>
    <t>自变量: w; 物理参数: w0, z_R; 固定常量: (none); para_eq参数: p0, p1, p2, p3, p4, p5, p6</t>
  </si>
  <si>
    <t>自变量: P; 物理参数: Area, Ta; 固定常量: sigma=1; para_eq参数: p0, p1, p2</t>
  </si>
  <si>
    <t>自变量: P; 物理参数: Area, Ta; 固定常量: sigma=1; para_eq参数: p0, p1, p2, p3, p4</t>
  </si>
  <si>
    <t>自变量: P; 物理参数: Area, Ta; 固定常量: sigma=1; para_eq参数: p0, p1</t>
  </si>
  <si>
    <t>自变量: P; 物理参数: K_poly, gamma; 固定常量: (none); para_eq参数: p0, p1</t>
  </si>
  <si>
    <t>自变量: P; 物理参数: K_poly, gamma; 固定常量: (none); para_eq参数: p0, p1, p2</t>
  </si>
  <si>
    <t>自变量: f_occ; 物理参数: mu, T_par; 固定常量: kb=1; para_eq参数: p0, p1, p2, p3, p4, p5</t>
  </si>
  <si>
    <t>自变量: f_occ; 物理参数: mu, T_par; 固定常量: kb=1; para_eq参数: p0, p1, p2, p3, p4, p5, p6</t>
  </si>
  <si>
    <t>自变量: f_occ; 物理参数: mu, T_par; 固定常量: kb=1; para_eq参数: p0, p1, p2</t>
  </si>
  <si>
    <t>自变量: f_occ; 物理参数: mu, T_par; 固定常量: kb=1; para_eq参数: p0, p1, p2, p3</t>
  </si>
  <si>
    <t>自变量: f_occ; 物理参数: mu, T_par; 固定常量: kb=1; para_eq参数: p0, p1, p2, p3, p4</t>
  </si>
  <si>
    <t>自变量: T; 物理参数: g; 固定常量: pi=3.14159; para_eq参数: p0, p1</t>
  </si>
  <si>
    <t>自变量: T; 物理参数: g; 固定常量: pi=3.14159; para_eq参数: p0</t>
  </si>
  <si>
    <t>自变量: T; 物理参数: g; 固定常量: pi=3.14159; para_eq参数: (none)</t>
  </si>
  <si>
    <t>自变量: T; 物理参数: k; 固定常量: pi=3.14159; para_eq参数: p0, p1</t>
  </si>
  <si>
    <t>自变量: T; 物理参数: k; 固定常量: pi=3.14159; para_eq参数: p0, p1, p2</t>
  </si>
  <si>
    <t>自变量: F; 物理参数: F0, k; 固定常量: (none); para_eq参数: p0, p1</t>
  </si>
  <si>
    <t>自变量: F; 物理参数: F0, k; 固定常量: (none); para_eq参数: p0</t>
  </si>
  <si>
    <t>自变量: P; 物理参数: P0, rho; 固定常量: g=9.81; para_eq参数: p0, p1</t>
  </si>
  <si>
    <t>自变量: P; 物理参数: P0, rho; 固定常量: g=9.81; para_eq参数: p0, p1, p2</t>
  </si>
  <si>
    <t>自变量: P; 物理参数: P0, rho; 固定常量: g=9.81; para_eq参数: p0</t>
  </si>
  <si>
    <t>自变量: v; 物理参数: M; 固定常量: G=1; para_eq参数: p0, p1</t>
  </si>
  <si>
    <t>自变量: v; 物理参数: M; 固定常量: G=1; para_eq参数: p0</t>
  </si>
  <si>
    <t>自变量: v_rec; 物理参数: H0; 固定常量: (none); para_eq参数: (none)</t>
  </si>
  <si>
    <t>自变量: v_rec; 物理参数: H0; 固定常量: (none); para_eq参数: p0</t>
  </si>
  <si>
    <t>自变量: B; 物理参数: m_dip; 固定常量: mu0=1; pi=3.14159; para_eq参数: p0, p1, p2</t>
  </si>
  <si>
    <t>自变量: B; 物理参数: m_dip; 固定常量: mu0=1; pi=3.14159; para_eq参数: p0, p1</t>
  </si>
  <si>
    <t>自变量: I; 物理参数: I0, mu; 固定常量: (none); para_eq参数: p0, p1, p2</t>
  </si>
  <si>
    <t>自变量: I; 物理参数: I0, mu; 固定常量: (none); para_eq参数: p0, p1, p2, p3, p4, p5</t>
  </si>
  <si>
    <t>自变量: I; 物理参数: I0, mu; 固定常量: (none); para_eq参数: p0, p1, p2, p3</t>
  </si>
  <si>
    <t>自变量: I; 物理参数: I0, mu; 固定常量: (none); para_eq参数: p0, p1</t>
  </si>
  <si>
    <t>自变量: L; 物理参数: L0, alpha; 固定常量: T0=293.15; para_eq参数: p0, p1</t>
  </si>
  <si>
    <t>自变量: L; 物理参数: L0, alpha; 固定常量: T0=293.15; para_eq参数: p0, p1, p2, p3, p4</t>
  </si>
  <si>
    <t>自变量: L; 物理参数: L0, alpha; 固定常量: T0=293.15; para_eq参数: p0</t>
  </si>
  <si>
    <t>自变量: I; 物理参数: I0, theta0; 固定常量: (none); para_eq参数: p0, p1</t>
  </si>
  <si>
    <t>自变量: I; 物理参数: I0, theta0; 固定常量: (none); para_eq参数: p0, p1, p2</t>
  </si>
  <si>
    <t>自变量: y; 物理参数: A, k, phi; 固定常量: (none); para_eq参数: p0, p1, p2, p3, p4</t>
  </si>
  <si>
    <t>自变量: x, t; 物理参数: A, omega_d, phi; 固定常量: (none); para_eq参数: p0, p1, p10, p2, p3, p4, p5, p6, p7, p8, p9</t>
  </si>
  <si>
    <t>自变量: x, t; 物理参数: A, omega_d, phi; 固定常量: (none); para_eq参数: p0, p1, p2, p3, p4, p5, p6, p7, p8</t>
  </si>
  <si>
    <t>自变量: x, t; 物理参数: A, omega_d, phi; 固定常量: (none); para_eq参数: p0, p1, p2, p3, p4, p5, p6, p7</t>
  </si>
  <si>
    <t>自变量: x, t; 物理参数: A, omega_d, phi; 固定常量: (none); para_eq参数: p0, p1, p2, p3, p4, p5</t>
  </si>
  <si>
    <t>自变量: x, t; 物理参数: A, omega_d, phi; 固定常量: (none); para_eq参数: p0, p1, p2, p3, p4, p5, p6</t>
  </si>
  <si>
    <t>自变量: P, V_m; 物理参数: T_par, a; 固定常量: Rgas=1; para_eq参数: p0, p1, p2, p3, p4</t>
  </si>
  <si>
    <t>自变量: P, V_m; 物理参数: T_par, a; 固定常量: Rgas=1; para_eq参数: p0, p1, p2, p3, p4, p5, p6</t>
  </si>
  <si>
    <t>自变量: C, T; 物理参数: theta_E; 固定常量: kb=1; para_eq参数: p0, p1, p2, p3, p4, p5</t>
  </si>
  <si>
    <t>自变量: C, T; 物理参数: theta_E; 固定常量: kb=1; para_eq参数: p0, p1, p2, p3, p4, p5, p6, p7, p8</t>
  </si>
  <si>
    <t>自变量: C, T; 物理参数: theta_E; 固定常量: kb=1; para_eq参数: p0, p1, p2, p3, p4, p5, p6</t>
  </si>
  <si>
    <t>自变量: C, T; 物理参数: theta_E; 固定常量: kb=1; para_eq参数: p0, p1, p2, p3, p4</t>
  </si>
  <si>
    <t>自变量: C, T; 物理参数: theta_E; 固定常量: kb=1; para_eq参数: p0, p1, p2, p3, p4, p5, p6, p7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</si>
</sst>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Carlito"/>
      <charset val="134"/>
    </font>
    <font>
      <sz val="11"/>
      <color rgb="FF1F1F1F"/>
      <name val="Carlito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0" borderId="0"/>
  </cellStyleXfs>
  <cellXfs count="16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3" borderId="1" xfId="49" applyNumberFormat="1" applyFont="1" applyFill="1" applyBorder="1" applyAlignment="1">
      <alignment horizontal="center" vertical="center" wrapText="1"/>
    </xf>
    <xf numFmtId="0" fontId="2" fillId="4" borderId="2" xfId="49" applyNumberFormat="1" applyFont="1" applyFill="1" applyBorder="1" applyAlignment="1">
      <alignment horizontal="center" vertical="center"/>
    </xf>
    <xf numFmtId="0" fontId="2" fillId="4" borderId="3" xfId="49" applyNumberFormat="1" applyFont="1" applyFill="1" applyBorder="1" applyAlignment="1">
      <alignment horizontal="center" vertical="center"/>
    </xf>
    <xf numFmtId="1" fontId="2" fillId="4" borderId="3" xfId="49" applyNumberFormat="1" applyFont="1" applyFill="1" applyBorder="1" applyAlignment="1">
      <alignment horizontal="center" vertical="center"/>
    </xf>
    <xf numFmtId="0" fontId="2" fillId="4" borderId="3" xfId="49" applyNumberFormat="1" applyFont="1" applyFill="1" applyBorder="1" applyAlignment="1">
      <alignment vertical="center"/>
    </xf>
    <xf numFmtId="0" fontId="2" fillId="0" borderId="2" xfId="49" applyNumberFormat="1" applyFont="1" applyBorder="1" applyAlignment="1">
      <alignment horizontal="center" vertical="center"/>
    </xf>
    <xf numFmtId="0" fontId="2" fillId="0" borderId="3" xfId="49" applyNumberFormat="1" applyFont="1" applyBorder="1" applyAlignment="1">
      <alignment horizontal="center" vertical="center"/>
    </xf>
    <xf numFmtId="1" fontId="2" fillId="0" borderId="3" xfId="49" applyNumberFormat="1" applyFont="1" applyBorder="1" applyAlignment="1">
      <alignment horizontal="center" vertical="center"/>
    </xf>
    <xf numFmtId="0" fontId="2" fillId="0" borderId="3" xfId="49" applyNumberFormat="1" applyFont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  <xf numFmtId="0" fontId="3" fillId="0" borderId="0" xfId="0" applyFont="1" applyFill="1" applyAlignment="1" quotePrefix="1">
      <alignment vertical="center"/>
    </xf>
    <xf numFmtId="0" fontId="3" fillId="0" borderId="0" xfId="0" applyFo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4"/>
  <sheetViews>
    <sheetView tabSelected="1" workbookViewId="0">
      <selection activeCell="A1" sqref="A$1:AE$1048576"/>
    </sheetView>
  </sheetViews>
  <sheetFormatPr defaultColWidth="9" defaultRowHeight="13.5"/>
  <cols>
    <col min="3" max="4" width="9" customWidth="1"/>
    <col min="5" max="5" width="15.625" customWidth="1"/>
    <col min="6" max="6" width="14.75" customWidth="1"/>
    <col min="7" max="15" width="9" customWidth="1"/>
    <col min="16" max="16" width="37.125" customWidth="1"/>
    <col min="17" max="17" width="6.375" customWidth="1"/>
    <col min="18" max="20" width="9" customWidth="1"/>
    <col min="21" max="21" width="25.625" customWidth="1"/>
    <col min="22" max="22" width="29.5" customWidth="1"/>
    <col min="23" max="23" width="12.875" customWidth="1"/>
    <col min="24" max="24" width="27.875" customWidth="1"/>
    <col min="25" max="25" width="12.875" customWidth="1"/>
    <col min="26" max="26" width="28.75" customWidth="1"/>
    <col min="27" max="27" width="23.75" customWidth="1"/>
    <col min="28" max="30" width="9" customWidth="1"/>
    <col min="31" max="32" width="9" style="11"/>
    <col min="33" max="33" width="26.5" style="11" customWidth="1"/>
    <col min="34" max="34" width="25.875" style="11" customWidth="1"/>
    <col min="35" max="35" width="23.125" style="11" customWidth="1"/>
    <col min="36" max="36" width="27.375" style="11" customWidth="1"/>
    <col min="37" max="37" width="28.375" style="11" customWidth="1"/>
    <col min="38" max="38" width="30.375" style="11" customWidth="1"/>
    <col min="39" max="39" width="28.25" style="11" customWidth="1"/>
    <col min="40" max="40" width="25" style="11" customWidth="1"/>
    <col min="41" max="41" width="13.75" style="11"/>
    <col min="42" max="42" width="34.25" style="11" customWidth="1"/>
    <col min="43" max="43" width="23.25" style="11" customWidth="1"/>
    <col min="44" max="44" width="13.75" style="11"/>
  </cols>
  <sheetData>
    <row r="1" ht="45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27</v>
      </c>
      <c r="AC1" s="2" t="s">
        <v>28</v>
      </c>
      <c r="AD1" s="2" t="s">
        <v>29</v>
      </c>
      <c r="AE1" s="11" t="s">
        <v>0</v>
      </c>
      <c r="AF1" s="11" t="s">
        <v>1</v>
      </c>
      <c r="AG1" s="11" t="s">
        <v>30</v>
      </c>
      <c r="AH1" s="11" t="s">
        <v>31</v>
      </c>
      <c r="AI1" s="11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</row>
    <row r="2" ht="14.25" spans="1:44">
      <c r="A2" t="s">
        <v>42</v>
      </c>
      <c r="B2">
        <v>1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s="16" t="s">
        <v>54</v>
      </c>
      <c r="O2" s="16" t="s">
        <v>55</v>
      </c>
      <c r="P2" s="16" t="s">
        <v>56</v>
      </c>
      <c r="Q2">
        <v>15</v>
      </c>
      <c r="R2" s="16" t="s">
        <v>57</v>
      </c>
      <c r="S2" s="16" t="s">
        <v>58</v>
      </c>
      <c r="T2">
        <v>6</v>
      </c>
      <c r="U2" t="s">
        <v>59</v>
      </c>
      <c r="V2" s="16" t="s">
        <v>60</v>
      </c>
      <c r="W2" s="16" t="s">
        <v>61</v>
      </c>
      <c r="X2" s="16" t="s">
        <v>62</v>
      </c>
      <c r="Y2" s="16" t="s">
        <v>63</v>
      </c>
      <c r="Z2" s="16" t="s">
        <v>64</v>
      </c>
      <c r="AA2" s="16" t="s">
        <v>65</v>
      </c>
      <c r="AB2" s="5">
        <v>52</v>
      </c>
      <c r="AC2" s="4" t="s">
        <v>66</v>
      </c>
      <c r="AD2" s="4">
        <v>3</v>
      </c>
      <c r="AE2" s="11" t="s">
        <v>42</v>
      </c>
      <c r="AF2" s="11">
        <v>1</v>
      </c>
      <c r="AG2" s="17" t="s">
        <v>67</v>
      </c>
      <c r="AH2" s="17" t="s">
        <v>68</v>
      </c>
      <c r="AI2" s="17" t="s">
        <v>69</v>
      </c>
      <c r="AJ2" s="17" t="s">
        <v>70</v>
      </c>
      <c r="AK2" s="17" t="s">
        <v>71</v>
      </c>
      <c r="AL2" s="17" t="s">
        <v>72</v>
      </c>
      <c r="AM2" s="17" t="s">
        <v>73</v>
      </c>
      <c r="AN2" s="17" t="s">
        <v>74</v>
      </c>
      <c r="AO2" s="17" t="s">
        <v>75</v>
      </c>
      <c r="AP2" s="17" t="s">
        <v>76</v>
      </c>
      <c r="AQ2" s="17" t="s">
        <v>77</v>
      </c>
      <c r="AR2" s="17" t="s">
        <v>78</v>
      </c>
    </row>
    <row r="3" ht="14.25" spans="1:44">
      <c r="A3" t="s">
        <v>79</v>
      </c>
      <c r="B3">
        <v>1</v>
      </c>
      <c r="C3" t="s">
        <v>80</v>
      </c>
      <c r="D3" t="s">
        <v>81</v>
      </c>
      <c r="E3" t="s">
        <v>82</v>
      </c>
      <c r="F3" t="s">
        <v>47</v>
      </c>
      <c r="G3" t="s">
        <v>83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t="s">
        <v>89</v>
      </c>
      <c r="N3" s="16" t="s">
        <v>90</v>
      </c>
      <c r="O3" s="16" t="s">
        <v>91</v>
      </c>
      <c r="P3">
        <v>1</v>
      </c>
      <c r="Q3">
        <v>5</v>
      </c>
      <c r="R3" s="16" t="s">
        <v>92</v>
      </c>
      <c r="S3" s="16" t="s">
        <v>93</v>
      </c>
      <c r="T3">
        <v>0</v>
      </c>
      <c r="U3" t="s">
        <v>94</v>
      </c>
      <c r="V3" s="16" t="s">
        <v>95</v>
      </c>
      <c r="W3">
        <v>1</v>
      </c>
      <c r="X3" s="16" t="s">
        <v>96</v>
      </c>
      <c r="Y3">
        <v>1</v>
      </c>
      <c r="Z3" s="16" t="s">
        <v>97</v>
      </c>
      <c r="AA3">
        <v>1</v>
      </c>
      <c r="AB3" s="5">
        <v>95</v>
      </c>
      <c r="AC3" s="4" t="s">
        <v>98</v>
      </c>
      <c r="AD3" s="4">
        <v>1</v>
      </c>
      <c r="AE3" s="11" t="s">
        <v>79</v>
      </c>
      <c r="AF3" s="11">
        <v>1</v>
      </c>
      <c r="AG3" s="17" t="s">
        <v>99</v>
      </c>
      <c r="AH3" s="17" t="s">
        <v>100</v>
      </c>
      <c r="AI3" s="11">
        <v>1</v>
      </c>
      <c r="AJ3" s="17" t="s">
        <v>101</v>
      </c>
      <c r="AK3" s="17" t="s">
        <v>102</v>
      </c>
      <c r="AL3" s="11">
        <v>1</v>
      </c>
      <c r="AM3" s="17" t="s">
        <v>103</v>
      </c>
      <c r="AN3" s="17" t="s">
        <v>104</v>
      </c>
      <c r="AO3" s="11">
        <v>1</v>
      </c>
      <c r="AP3" s="17" t="s">
        <v>105</v>
      </c>
      <c r="AQ3" s="17" t="s">
        <v>106</v>
      </c>
      <c r="AR3" s="11">
        <v>1</v>
      </c>
    </row>
    <row r="4" ht="14.25" spans="1:44">
      <c r="A4" t="s">
        <v>107</v>
      </c>
      <c r="B4">
        <v>1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110</v>
      </c>
      <c r="K4" t="s">
        <v>115</v>
      </c>
      <c r="L4" t="s">
        <v>116</v>
      </c>
      <c r="M4" t="s">
        <v>117</v>
      </c>
      <c r="N4" s="16" t="s">
        <v>118</v>
      </c>
      <c r="O4" s="16" t="s">
        <v>119</v>
      </c>
      <c r="P4">
        <v>1</v>
      </c>
      <c r="Q4">
        <v>8</v>
      </c>
      <c r="R4">
        <v>0.0021758792</v>
      </c>
      <c r="S4" s="16" t="s">
        <v>120</v>
      </c>
      <c r="T4">
        <v>0</v>
      </c>
      <c r="U4" t="s">
        <v>121</v>
      </c>
      <c r="V4" s="16" t="s">
        <v>122</v>
      </c>
      <c r="W4">
        <v>1</v>
      </c>
      <c r="X4" s="16" t="s">
        <v>123</v>
      </c>
      <c r="Y4">
        <v>1</v>
      </c>
      <c r="Z4" s="16" t="s">
        <v>124</v>
      </c>
      <c r="AA4">
        <v>1</v>
      </c>
      <c r="AB4" s="5">
        <v>95</v>
      </c>
      <c r="AC4" s="4" t="s">
        <v>98</v>
      </c>
      <c r="AD4" s="4">
        <v>1</v>
      </c>
      <c r="AE4" s="11" t="s">
        <v>107</v>
      </c>
      <c r="AF4" s="11">
        <v>1</v>
      </c>
      <c r="AG4" s="17" t="s">
        <v>125</v>
      </c>
      <c r="AH4" s="17" t="s">
        <v>126</v>
      </c>
      <c r="AI4" s="11">
        <v>1</v>
      </c>
      <c r="AJ4" s="18" t="s">
        <v>127</v>
      </c>
      <c r="AK4" s="18" t="s">
        <v>128</v>
      </c>
      <c r="AL4" s="13">
        <v>1</v>
      </c>
      <c r="AM4" s="17" t="s">
        <v>129</v>
      </c>
      <c r="AN4" s="17" t="s">
        <v>130</v>
      </c>
      <c r="AO4" s="11">
        <v>1</v>
      </c>
      <c r="AP4" s="17" t="s">
        <v>131</v>
      </c>
      <c r="AQ4" s="17" t="s">
        <v>132</v>
      </c>
      <c r="AR4" s="11">
        <v>1</v>
      </c>
    </row>
    <row r="5" ht="14.25" spans="1:44">
      <c r="A5" t="s">
        <v>133</v>
      </c>
      <c r="B5">
        <v>1</v>
      </c>
      <c r="C5" t="s">
        <v>134</v>
      </c>
      <c r="D5" t="s">
        <v>135</v>
      </c>
      <c r="E5" t="s">
        <v>136</v>
      </c>
      <c r="F5" t="s">
        <v>137</v>
      </c>
      <c r="G5" t="s">
        <v>138</v>
      </c>
      <c r="H5" t="s">
        <v>139</v>
      </c>
      <c r="I5" t="s">
        <v>140</v>
      </c>
      <c r="J5" t="s">
        <v>141</v>
      </c>
      <c r="K5" t="s">
        <v>142</v>
      </c>
      <c r="L5" t="s">
        <v>143</v>
      </c>
      <c r="M5" t="s">
        <v>89</v>
      </c>
      <c r="N5" s="16" t="s">
        <v>144</v>
      </c>
      <c r="O5" s="16" t="s">
        <v>145</v>
      </c>
      <c r="P5">
        <v>1</v>
      </c>
      <c r="Q5">
        <v>8</v>
      </c>
      <c r="R5" s="16" t="s">
        <v>146</v>
      </c>
      <c r="S5" s="16" t="s">
        <v>147</v>
      </c>
      <c r="T5">
        <v>2</v>
      </c>
      <c r="U5" t="s">
        <v>148</v>
      </c>
      <c r="V5" s="16" t="s">
        <v>149</v>
      </c>
      <c r="W5">
        <v>1</v>
      </c>
      <c r="X5" s="16" t="s">
        <v>150</v>
      </c>
      <c r="Y5">
        <v>1</v>
      </c>
      <c r="Z5" s="16" t="s">
        <v>151</v>
      </c>
      <c r="AA5">
        <v>1</v>
      </c>
      <c r="AB5" s="5">
        <v>99</v>
      </c>
      <c r="AC5" s="4" t="s">
        <v>98</v>
      </c>
      <c r="AD5" s="4">
        <v>1</v>
      </c>
      <c r="AE5" s="11" t="s">
        <v>133</v>
      </c>
      <c r="AF5" s="11">
        <v>1</v>
      </c>
      <c r="AG5" s="17" t="s">
        <v>152</v>
      </c>
      <c r="AH5" s="17" t="s">
        <v>153</v>
      </c>
      <c r="AI5" s="11">
        <v>1</v>
      </c>
      <c r="AJ5" s="17" t="s">
        <v>154</v>
      </c>
      <c r="AK5" s="17" t="s">
        <v>155</v>
      </c>
      <c r="AL5" s="11">
        <v>1</v>
      </c>
      <c r="AM5" s="18" t="s">
        <v>156</v>
      </c>
      <c r="AN5" s="18" t="s">
        <v>157</v>
      </c>
      <c r="AO5" s="13">
        <v>1</v>
      </c>
      <c r="AP5" s="17" t="s">
        <v>158</v>
      </c>
      <c r="AQ5" s="17" t="s">
        <v>159</v>
      </c>
      <c r="AR5" s="11">
        <v>1</v>
      </c>
    </row>
    <row r="6" ht="14.25" spans="1:44">
      <c r="A6" t="s">
        <v>160</v>
      </c>
      <c r="B6">
        <v>1</v>
      </c>
      <c r="C6" t="s">
        <v>161</v>
      </c>
      <c r="D6" t="s">
        <v>162</v>
      </c>
      <c r="E6" t="s">
        <v>163</v>
      </c>
      <c r="F6" t="s">
        <v>164</v>
      </c>
      <c r="G6" t="s">
        <v>165</v>
      </c>
      <c r="H6" t="s">
        <v>166</v>
      </c>
      <c r="I6" t="s">
        <v>114</v>
      </c>
      <c r="J6" t="s">
        <v>163</v>
      </c>
      <c r="K6" t="s">
        <v>167</v>
      </c>
      <c r="L6" t="s">
        <v>168</v>
      </c>
      <c r="M6" t="s">
        <v>168</v>
      </c>
      <c r="N6" s="16" t="s">
        <v>169</v>
      </c>
      <c r="O6" s="16" t="s">
        <v>170</v>
      </c>
      <c r="P6" s="16" t="s">
        <v>171</v>
      </c>
      <c r="Q6">
        <v>3</v>
      </c>
      <c r="R6">
        <v>0.19648878</v>
      </c>
      <c r="S6" s="16" t="s">
        <v>172</v>
      </c>
      <c r="T6">
        <v>2</v>
      </c>
      <c r="U6" t="s">
        <v>173</v>
      </c>
      <c r="V6" s="16" t="s">
        <v>174</v>
      </c>
      <c r="W6" s="16" t="s">
        <v>175</v>
      </c>
      <c r="X6" s="16" t="s">
        <v>176</v>
      </c>
      <c r="Y6" s="16" t="s">
        <v>177</v>
      </c>
      <c r="Z6" s="16" t="s">
        <v>178</v>
      </c>
      <c r="AA6" s="16" t="s">
        <v>179</v>
      </c>
      <c r="AB6" s="9">
        <v>52</v>
      </c>
      <c r="AC6" s="8" t="s">
        <v>66</v>
      </c>
      <c r="AD6" s="8">
        <v>1</v>
      </c>
      <c r="AE6" s="11" t="s">
        <v>160</v>
      </c>
      <c r="AF6" s="11">
        <v>1</v>
      </c>
      <c r="AG6" s="17" t="s">
        <v>180</v>
      </c>
      <c r="AH6" s="17" t="s">
        <v>181</v>
      </c>
      <c r="AI6" s="17" t="s">
        <v>182</v>
      </c>
      <c r="AJ6" s="18" t="s">
        <v>183</v>
      </c>
      <c r="AK6" s="18" t="s">
        <v>184</v>
      </c>
      <c r="AL6" s="18" t="s">
        <v>185</v>
      </c>
      <c r="AM6" s="17" t="s">
        <v>186</v>
      </c>
      <c r="AN6" s="17" t="s">
        <v>187</v>
      </c>
      <c r="AO6" s="17" t="s">
        <v>188</v>
      </c>
      <c r="AP6" s="17" t="s">
        <v>189</v>
      </c>
      <c r="AQ6" s="17" t="s">
        <v>190</v>
      </c>
      <c r="AR6" s="17" t="s">
        <v>191</v>
      </c>
    </row>
    <row r="7" ht="14.25" spans="1:44">
      <c r="A7" t="s">
        <v>192</v>
      </c>
      <c r="B7">
        <v>1</v>
      </c>
      <c r="C7" t="s">
        <v>193</v>
      </c>
      <c r="D7" t="s">
        <v>194</v>
      </c>
      <c r="E7" t="s">
        <v>195</v>
      </c>
      <c r="F7" t="s">
        <v>196</v>
      </c>
      <c r="G7" t="s">
        <v>197</v>
      </c>
      <c r="H7" t="s">
        <v>198</v>
      </c>
      <c r="I7" t="s">
        <v>199</v>
      </c>
      <c r="J7" t="s">
        <v>200</v>
      </c>
      <c r="K7" t="s">
        <v>201</v>
      </c>
      <c r="L7" t="s">
        <v>202</v>
      </c>
      <c r="M7" t="s">
        <v>203</v>
      </c>
      <c r="N7" s="16" t="s">
        <v>204</v>
      </c>
      <c r="O7" s="16" t="s">
        <v>205</v>
      </c>
      <c r="P7">
        <v>1</v>
      </c>
      <c r="Q7">
        <v>22</v>
      </c>
      <c r="R7" s="16" t="s">
        <v>206</v>
      </c>
      <c r="S7" s="16" t="s">
        <v>207</v>
      </c>
      <c r="T7">
        <v>4</v>
      </c>
      <c r="U7" t="s">
        <v>208</v>
      </c>
      <c r="V7" s="16" t="s">
        <v>209</v>
      </c>
      <c r="W7">
        <v>1</v>
      </c>
      <c r="X7" s="16" t="s">
        <v>210</v>
      </c>
      <c r="Y7">
        <v>1</v>
      </c>
      <c r="Z7" s="16" t="s">
        <v>211</v>
      </c>
      <c r="AA7">
        <v>1</v>
      </c>
      <c r="AB7" s="9">
        <v>95</v>
      </c>
      <c r="AC7" s="8" t="s">
        <v>98</v>
      </c>
      <c r="AD7" s="8">
        <v>1</v>
      </c>
      <c r="AE7" s="11" t="s">
        <v>192</v>
      </c>
      <c r="AF7" s="11">
        <v>1</v>
      </c>
      <c r="AG7" s="17" t="s">
        <v>212</v>
      </c>
      <c r="AH7" s="17" t="s">
        <v>213</v>
      </c>
      <c r="AI7" s="11">
        <v>1</v>
      </c>
      <c r="AJ7" s="17" t="s">
        <v>214</v>
      </c>
      <c r="AK7" s="17" t="s">
        <v>215</v>
      </c>
      <c r="AL7" s="11">
        <v>1</v>
      </c>
      <c r="AM7" s="17" t="s">
        <v>216</v>
      </c>
      <c r="AN7" s="17" t="s">
        <v>217</v>
      </c>
      <c r="AO7" s="11">
        <v>1</v>
      </c>
      <c r="AP7" s="17" t="s">
        <v>218</v>
      </c>
      <c r="AQ7" s="17" t="s">
        <v>219</v>
      </c>
      <c r="AR7" s="11">
        <v>1</v>
      </c>
    </row>
    <row r="8" ht="14.25" spans="1:44">
      <c r="A8" t="s">
        <v>220</v>
      </c>
      <c r="B8">
        <v>1</v>
      </c>
      <c r="C8" t="s">
        <v>221</v>
      </c>
      <c r="D8" t="s">
        <v>222</v>
      </c>
      <c r="E8" t="e">
        <f>-E_n/(mom*COS(theta))</f>
        <v>#NAME?</v>
      </c>
      <c r="F8" t="s">
        <v>223</v>
      </c>
      <c r="G8" t="s">
        <v>224</v>
      </c>
      <c r="H8" t="s">
        <v>225</v>
      </c>
      <c r="I8" t="s">
        <v>114</v>
      </c>
      <c r="J8" t="e">
        <f>-E_n/(mom*COS(theta))</f>
        <v>#NAME?</v>
      </c>
      <c r="K8" t="s">
        <v>226</v>
      </c>
      <c r="L8" t="s">
        <v>227</v>
      </c>
      <c r="M8" t="s">
        <v>203</v>
      </c>
      <c r="N8" s="16" t="s">
        <v>228</v>
      </c>
      <c r="O8" s="16" t="s">
        <v>229</v>
      </c>
      <c r="P8">
        <v>1</v>
      </c>
      <c r="Q8">
        <v>9</v>
      </c>
      <c r="R8" s="16" t="s">
        <v>230</v>
      </c>
      <c r="S8" s="16" t="s">
        <v>231</v>
      </c>
      <c r="T8">
        <v>2</v>
      </c>
      <c r="U8" t="s">
        <v>148</v>
      </c>
      <c r="V8" s="16" t="s">
        <v>232</v>
      </c>
      <c r="W8">
        <v>1</v>
      </c>
      <c r="X8" s="16" t="s">
        <v>233</v>
      </c>
      <c r="Y8">
        <v>1</v>
      </c>
      <c r="Z8" s="16" t="s">
        <v>234</v>
      </c>
      <c r="AA8">
        <v>1</v>
      </c>
      <c r="AB8" s="9">
        <v>94</v>
      </c>
      <c r="AC8" s="8" t="s">
        <v>235</v>
      </c>
      <c r="AD8" s="8">
        <v>2</v>
      </c>
      <c r="AE8" s="11" t="s">
        <v>220</v>
      </c>
      <c r="AF8" s="11">
        <v>1</v>
      </c>
      <c r="AG8" s="17" t="s">
        <v>236</v>
      </c>
      <c r="AH8" s="17" t="s">
        <v>237</v>
      </c>
      <c r="AI8" s="11">
        <v>1</v>
      </c>
      <c r="AJ8" s="17" t="s">
        <v>238</v>
      </c>
      <c r="AK8" s="17" t="s">
        <v>239</v>
      </c>
      <c r="AL8" s="11">
        <v>1</v>
      </c>
      <c r="AM8" s="17" t="s">
        <v>240</v>
      </c>
      <c r="AN8" s="17" t="s">
        <v>241</v>
      </c>
      <c r="AO8" s="11">
        <v>1</v>
      </c>
      <c r="AP8" s="17" t="s">
        <v>242</v>
      </c>
      <c r="AQ8" s="17" t="s">
        <v>243</v>
      </c>
      <c r="AR8" s="11">
        <v>1</v>
      </c>
    </row>
    <row r="9" ht="14.25" spans="1:44">
      <c r="A9" t="s">
        <v>244</v>
      </c>
      <c r="B9">
        <v>1</v>
      </c>
      <c r="C9" t="s">
        <v>245</v>
      </c>
      <c r="D9" t="s">
        <v>246</v>
      </c>
      <c r="E9" t="s">
        <v>247</v>
      </c>
      <c r="F9" t="s">
        <v>248</v>
      </c>
      <c r="G9" t="s">
        <v>249</v>
      </c>
      <c r="H9" t="s">
        <v>225</v>
      </c>
      <c r="I9" t="s">
        <v>114</v>
      </c>
      <c r="J9" t="s">
        <v>247</v>
      </c>
      <c r="K9" t="s">
        <v>250</v>
      </c>
      <c r="L9" t="s">
        <v>251</v>
      </c>
      <c r="M9" t="s">
        <v>252</v>
      </c>
      <c r="N9" s="16" t="s">
        <v>253</v>
      </c>
      <c r="O9" s="16" t="s">
        <v>254</v>
      </c>
      <c r="P9" s="16" t="s">
        <v>255</v>
      </c>
      <c r="Q9">
        <v>28</v>
      </c>
      <c r="R9">
        <v>0.030850714</v>
      </c>
      <c r="S9" s="16" t="s">
        <v>256</v>
      </c>
      <c r="T9">
        <v>0</v>
      </c>
      <c r="U9" t="s">
        <v>257</v>
      </c>
      <c r="V9" s="16" t="s">
        <v>258</v>
      </c>
      <c r="W9" s="16" t="s">
        <v>259</v>
      </c>
      <c r="X9" s="16" t="s">
        <v>260</v>
      </c>
      <c r="Y9" s="16" t="s">
        <v>261</v>
      </c>
      <c r="Z9" s="16" t="s">
        <v>262</v>
      </c>
      <c r="AA9" s="16" t="s">
        <v>263</v>
      </c>
      <c r="AB9" s="9">
        <v>47</v>
      </c>
      <c r="AC9" s="8" t="s">
        <v>66</v>
      </c>
      <c r="AD9" s="8">
        <v>2</v>
      </c>
      <c r="AE9" s="11" t="s">
        <v>244</v>
      </c>
      <c r="AF9" s="11">
        <v>1</v>
      </c>
      <c r="AG9" s="17" t="s">
        <v>264</v>
      </c>
      <c r="AH9" s="17" t="s">
        <v>265</v>
      </c>
      <c r="AI9" s="17" t="s">
        <v>266</v>
      </c>
      <c r="AJ9" s="17" t="s">
        <v>267</v>
      </c>
      <c r="AK9" s="17" t="s">
        <v>268</v>
      </c>
      <c r="AL9" s="17" t="s">
        <v>269</v>
      </c>
      <c r="AM9" s="17" t="s">
        <v>270</v>
      </c>
      <c r="AN9" s="17" t="s">
        <v>271</v>
      </c>
      <c r="AO9" s="17" t="s">
        <v>272</v>
      </c>
      <c r="AP9" s="17" t="s">
        <v>273</v>
      </c>
      <c r="AQ9" s="17" t="s">
        <v>274</v>
      </c>
      <c r="AR9" s="17" t="s">
        <v>275</v>
      </c>
    </row>
    <row r="10" ht="14.25" spans="1:44">
      <c r="A10" t="s">
        <v>276</v>
      </c>
      <c r="B10">
        <v>1</v>
      </c>
      <c r="C10" t="s">
        <v>277</v>
      </c>
      <c r="D10" t="s">
        <v>278</v>
      </c>
      <c r="E10" t="s">
        <v>279</v>
      </c>
      <c r="F10" t="s">
        <v>46</v>
      </c>
      <c r="G10" t="s">
        <v>280</v>
      </c>
      <c r="H10" t="s">
        <v>281</v>
      </c>
      <c r="I10" t="s">
        <v>282</v>
      </c>
      <c r="J10" t="s">
        <v>283</v>
      </c>
      <c r="K10" t="s">
        <v>284</v>
      </c>
      <c r="L10" t="s">
        <v>285</v>
      </c>
      <c r="M10" t="s">
        <v>89</v>
      </c>
      <c r="N10" s="16" t="s">
        <v>286</v>
      </c>
      <c r="O10" s="16" t="s">
        <v>287</v>
      </c>
      <c r="P10">
        <v>1</v>
      </c>
      <c r="Q10">
        <v>3</v>
      </c>
      <c r="R10" s="16" t="s">
        <v>288</v>
      </c>
      <c r="S10" s="16" t="s">
        <v>289</v>
      </c>
      <c r="T10">
        <v>1</v>
      </c>
      <c r="U10" t="s">
        <v>290</v>
      </c>
      <c r="V10" s="16" t="s">
        <v>291</v>
      </c>
      <c r="W10">
        <v>1</v>
      </c>
      <c r="X10" s="16" t="s">
        <v>292</v>
      </c>
      <c r="Y10">
        <v>1</v>
      </c>
      <c r="Z10" s="16" t="s">
        <v>293</v>
      </c>
      <c r="AA10">
        <v>1</v>
      </c>
      <c r="AB10" s="9">
        <v>95</v>
      </c>
      <c r="AC10" s="8" t="s">
        <v>98</v>
      </c>
      <c r="AD10" s="8">
        <v>1</v>
      </c>
      <c r="AE10" s="11" t="s">
        <v>276</v>
      </c>
      <c r="AF10" s="11">
        <v>1</v>
      </c>
      <c r="AG10" s="17" t="s">
        <v>294</v>
      </c>
      <c r="AH10" s="17" t="s">
        <v>295</v>
      </c>
      <c r="AI10" s="11">
        <v>1</v>
      </c>
      <c r="AJ10" s="17" t="s">
        <v>296</v>
      </c>
      <c r="AK10" s="17" t="s">
        <v>297</v>
      </c>
      <c r="AL10" s="11">
        <v>1</v>
      </c>
      <c r="AM10" s="17" t="s">
        <v>298</v>
      </c>
      <c r="AN10" s="17" t="s">
        <v>299</v>
      </c>
      <c r="AO10" s="11">
        <v>1</v>
      </c>
      <c r="AP10" s="17" t="s">
        <v>300</v>
      </c>
      <c r="AQ10" s="17" t="s">
        <v>301</v>
      </c>
      <c r="AR10" s="11">
        <v>1</v>
      </c>
    </row>
    <row r="11" ht="14.25" spans="1:44">
      <c r="A11" t="s">
        <v>302</v>
      </c>
      <c r="B11">
        <v>1</v>
      </c>
      <c r="C11" t="s">
        <v>303</v>
      </c>
      <c r="D11" t="s">
        <v>304</v>
      </c>
      <c r="E11" t="s">
        <v>305</v>
      </c>
      <c r="F11" t="s">
        <v>164</v>
      </c>
      <c r="G11" t="s">
        <v>306</v>
      </c>
      <c r="H11" t="s">
        <v>307</v>
      </c>
      <c r="I11" t="s">
        <v>308</v>
      </c>
      <c r="J11" t="s">
        <v>309</v>
      </c>
      <c r="K11" t="s">
        <v>310</v>
      </c>
      <c r="L11" t="s">
        <v>311</v>
      </c>
      <c r="M11" t="s">
        <v>203</v>
      </c>
      <c r="N11" s="16" t="s">
        <v>312</v>
      </c>
      <c r="O11" s="16" t="s">
        <v>313</v>
      </c>
      <c r="P11">
        <v>1</v>
      </c>
      <c r="Q11">
        <v>11</v>
      </c>
      <c r="R11" s="16" t="s">
        <v>314</v>
      </c>
      <c r="S11" s="16" t="s">
        <v>315</v>
      </c>
      <c r="T11">
        <v>2</v>
      </c>
      <c r="U11" t="s">
        <v>173</v>
      </c>
      <c r="V11" s="16" t="s">
        <v>316</v>
      </c>
      <c r="W11">
        <v>1</v>
      </c>
      <c r="X11" s="16" t="s">
        <v>317</v>
      </c>
      <c r="Y11">
        <v>1</v>
      </c>
      <c r="Z11" s="16" t="s">
        <v>318</v>
      </c>
      <c r="AA11">
        <v>1</v>
      </c>
      <c r="AB11" s="5">
        <v>95</v>
      </c>
      <c r="AC11" s="4" t="s">
        <v>98</v>
      </c>
      <c r="AD11" s="4">
        <v>1</v>
      </c>
      <c r="AE11" s="11" t="s">
        <v>302</v>
      </c>
      <c r="AF11" s="11">
        <v>1</v>
      </c>
      <c r="AG11" s="17" t="s">
        <v>319</v>
      </c>
      <c r="AH11" s="17" t="s">
        <v>320</v>
      </c>
      <c r="AI11" s="11">
        <v>1</v>
      </c>
      <c r="AJ11" s="17" t="s">
        <v>321</v>
      </c>
      <c r="AK11" s="17" t="s">
        <v>322</v>
      </c>
      <c r="AL11" s="11">
        <v>1</v>
      </c>
      <c r="AM11" s="17" t="s">
        <v>323</v>
      </c>
      <c r="AN11" s="17" t="s">
        <v>324</v>
      </c>
      <c r="AO11" s="11">
        <v>1</v>
      </c>
      <c r="AP11" s="17" t="s">
        <v>325</v>
      </c>
      <c r="AQ11" s="17" t="s">
        <v>326</v>
      </c>
      <c r="AR11" s="11">
        <v>1</v>
      </c>
    </row>
    <row r="12" ht="14.25" spans="1:44">
      <c r="A12" t="s">
        <v>327</v>
      </c>
      <c r="B12">
        <v>1</v>
      </c>
      <c r="C12" t="s">
        <v>328</v>
      </c>
      <c r="D12" t="s">
        <v>329</v>
      </c>
      <c r="E12" t="s">
        <v>330</v>
      </c>
      <c r="F12" t="s">
        <v>331</v>
      </c>
      <c r="G12" t="s">
        <v>332</v>
      </c>
      <c r="H12" t="s">
        <v>333</v>
      </c>
      <c r="I12" t="s">
        <v>334</v>
      </c>
      <c r="J12" t="s">
        <v>335</v>
      </c>
      <c r="K12" t="s">
        <v>336</v>
      </c>
      <c r="L12" t="s">
        <v>337</v>
      </c>
      <c r="M12" t="s">
        <v>53</v>
      </c>
      <c r="N12" s="16" t="s">
        <v>338</v>
      </c>
      <c r="O12" s="16" t="s">
        <v>339</v>
      </c>
      <c r="P12">
        <v>1</v>
      </c>
      <c r="Q12">
        <v>19</v>
      </c>
      <c r="R12" s="16" t="s">
        <v>340</v>
      </c>
      <c r="S12" s="16" t="s">
        <v>341</v>
      </c>
      <c r="T12">
        <v>2</v>
      </c>
      <c r="U12" t="s">
        <v>148</v>
      </c>
      <c r="V12" s="16" t="s">
        <v>342</v>
      </c>
      <c r="W12">
        <v>1</v>
      </c>
      <c r="X12" s="16" t="s">
        <v>343</v>
      </c>
      <c r="Y12">
        <v>1</v>
      </c>
      <c r="Z12" s="16" t="s">
        <v>344</v>
      </c>
      <c r="AA12">
        <v>1</v>
      </c>
      <c r="AB12" s="5">
        <v>94</v>
      </c>
      <c r="AC12" s="4" t="s">
        <v>235</v>
      </c>
      <c r="AD12" s="4">
        <v>1</v>
      </c>
      <c r="AE12" s="11" t="s">
        <v>327</v>
      </c>
      <c r="AF12" s="11">
        <v>1</v>
      </c>
      <c r="AG12" s="17" t="s">
        <v>345</v>
      </c>
      <c r="AH12" s="17" t="s">
        <v>346</v>
      </c>
      <c r="AI12" s="11">
        <v>1</v>
      </c>
      <c r="AJ12" s="17" t="s">
        <v>347</v>
      </c>
      <c r="AK12" s="17" t="s">
        <v>348</v>
      </c>
      <c r="AL12" s="11">
        <v>1</v>
      </c>
      <c r="AM12" s="17" t="s">
        <v>349</v>
      </c>
      <c r="AN12" s="17" t="s">
        <v>350</v>
      </c>
      <c r="AO12" s="11">
        <v>1</v>
      </c>
      <c r="AP12" s="17" t="s">
        <v>351</v>
      </c>
      <c r="AQ12" s="17" t="s">
        <v>352</v>
      </c>
      <c r="AR12" s="11">
        <v>1</v>
      </c>
    </row>
    <row r="13" ht="14.25" spans="1:44">
      <c r="A13" t="s">
        <v>353</v>
      </c>
      <c r="B13">
        <v>1</v>
      </c>
      <c r="C13" t="s">
        <v>354</v>
      </c>
      <c r="D13" t="s">
        <v>355</v>
      </c>
      <c r="E13" t="s">
        <v>356</v>
      </c>
      <c r="F13" t="s">
        <v>196</v>
      </c>
      <c r="G13" t="s">
        <v>357</v>
      </c>
      <c r="H13" t="s">
        <v>358</v>
      </c>
      <c r="I13" t="s">
        <v>359</v>
      </c>
      <c r="J13" t="s">
        <v>360</v>
      </c>
      <c r="K13" t="s">
        <v>361</v>
      </c>
      <c r="L13" t="s">
        <v>362</v>
      </c>
      <c r="M13" t="s">
        <v>363</v>
      </c>
      <c r="N13" s="16" t="s">
        <v>364</v>
      </c>
      <c r="O13" s="16" t="s">
        <v>365</v>
      </c>
      <c r="P13">
        <v>1</v>
      </c>
      <c r="Q13">
        <v>7</v>
      </c>
      <c r="R13" s="16" t="s">
        <v>366</v>
      </c>
      <c r="S13" s="16" t="s">
        <v>367</v>
      </c>
      <c r="T13">
        <v>0</v>
      </c>
      <c r="U13" t="s">
        <v>368</v>
      </c>
      <c r="V13" s="16" t="s">
        <v>369</v>
      </c>
      <c r="W13" s="16" t="s">
        <v>370</v>
      </c>
      <c r="X13" s="16" t="s">
        <v>371</v>
      </c>
      <c r="Y13" s="16" t="s">
        <v>372</v>
      </c>
      <c r="Z13" s="16" t="s">
        <v>373</v>
      </c>
      <c r="AA13" s="16" t="s">
        <v>374</v>
      </c>
      <c r="AB13" s="5">
        <v>95</v>
      </c>
      <c r="AC13" s="4" t="s">
        <v>98</v>
      </c>
      <c r="AD13" s="4">
        <v>1</v>
      </c>
      <c r="AE13" s="11" t="s">
        <v>353</v>
      </c>
      <c r="AF13" s="11">
        <v>1</v>
      </c>
      <c r="AG13" s="17" t="s">
        <v>375</v>
      </c>
      <c r="AH13" s="17" t="s">
        <v>376</v>
      </c>
      <c r="AI13" s="17" t="s">
        <v>377</v>
      </c>
      <c r="AJ13" s="17" t="s">
        <v>378</v>
      </c>
      <c r="AK13" s="17" t="s">
        <v>379</v>
      </c>
      <c r="AL13" s="17" t="s">
        <v>380</v>
      </c>
      <c r="AM13" s="17" t="s">
        <v>381</v>
      </c>
      <c r="AN13" s="17" t="s">
        <v>382</v>
      </c>
      <c r="AO13" s="17" t="s">
        <v>383</v>
      </c>
      <c r="AP13" s="17" t="s">
        <v>384</v>
      </c>
      <c r="AQ13" s="17" t="s">
        <v>385</v>
      </c>
      <c r="AR13" s="17" t="s">
        <v>386</v>
      </c>
    </row>
    <row r="14" ht="14.25" spans="1:44">
      <c r="A14" t="s">
        <v>387</v>
      </c>
      <c r="B14">
        <v>1</v>
      </c>
      <c r="C14" t="s">
        <v>388</v>
      </c>
      <c r="D14" t="s">
        <v>389</v>
      </c>
      <c r="E14" t="s">
        <v>390</v>
      </c>
      <c r="F14" t="s">
        <v>391</v>
      </c>
      <c r="G14" t="s">
        <v>392</v>
      </c>
      <c r="H14" t="s">
        <v>393</v>
      </c>
      <c r="I14" t="s">
        <v>394</v>
      </c>
      <c r="J14" t="s">
        <v>395</v>
      </c>
      <c r="K14" t="s">
        <v>396</v>
      </c>
      <c r="L14" t="s">
        <v>397</v>
      </c>
      <c r="M14" t="s">
        <v>203</v>
      </c>
      <c r="N14" s="16" t="s">
        <v>398</v>
      </c>
      <c r="O14" s="16" t="s">
        <v>399</v>
      </c>
      <c r="P14">
        <v>1</v>
      </c>
      <c r="Q14">
        <v>14</v>
      </c>
      <c r="R14" s="16" t="s">
        <v>400</v>
      </c>
      <c r="S14" s="16" t="s">
        <v>401</v>
      </c>
      <c r="T14">
        <v>4</v>
      </c>
      <c r="U14" t="s">
        <v>402</v>
      </c>
      <c r="V14" s="16" t="s">
        <v>403</v>
      </c>
      <c r="W14">
        <v>1</v>
      </c>
      <c r="X14" s="16" t="s">
        <v>404</v>
      </c>
      <c r="Y14">
        <v>1</v>
      </c>
      <c r="Z14" s="16" t="s">
        <v>405</v>
      </c>
      <c r="AA14">
        <v>1</v>
      </c>
      <c r="AB14" s="5">
        <v>95</v>
      </c>
      <c r="AC14" s="4" t="s">
        <v>98</v>
      </c>
      <c r="AD14" s="4">
        <v>1</v>
      </c>
      <c r="AE14" s="11" t="s">
        <v>387</v>
      </c>
      <c r="AF14" s="11">
        <v>1</v>
      </c>
      <c r="AG14" s="17" t="s">
        <v>406</v>
      </c>
      <c r="AH14" s="17" t="s">
        <v>407</v>
      </c>
      <c r="AI14" s="11">
        <v>1</v>
      </c>
      <c r="AJ14" s="17" t="s">
        <v>408</v>
      </c>
      <c r="AK14" s="17" t="s">
        <v>409</v>
      </c>
      <c r="AL14" s="11">
        <v>1</v>
      </c>
      <c r="AM14" s="17" t="s">
        <v>410</v>
      </c>
      <c r="AN14" s="17" t="s">
        <v>411</v>
      </c>
      <c r="AO14" s="11">
        <v>1</v>
      </c>
      <c r="AP14" s="17" t="s">
        <v>412</v>
      </c>
      <c r="AQ14" s="17" t="s">
        <v>413</v>
      </c>
      <c r="AR14" s="11">
        <v>1</v>
      </c>
    </row>
    <row r="15" ht="14.25" spans="1:44">
      <c r="A15" t="s">
        <v>414</v>
      </c>
      <c r="B15">
        <v>1</v>
      </c>
      <c r="C15" t="s">
        <v>415</v>
      </c>
      <c r="D15" t="s">
        <v>416</v>
      </c>
      <c r="E15" t="s">
        <v>417</v>
      </c>
      <c r="F15" t="s">
        <v>418</v>
      </c>
      <c r="G15" t="s">
        <v>47</v>
      </c>
      <c r="H15" t="s">
        <v>419</v>
      </c>
      <c r="I15" t="s">
        <v>420</v>
      </c>
      <c r="J15" t="s">
        <v>421</v>
      </c>
      <c r="K15" t="s">
        <v>422</v>
      </c>
      <c r="L15" t="s">
        <v>423</v>
      </c>
      <c r="M15" t="s">
        <v>89</v>
      </c>
      <c r="N15" s="16" t="s">
        <v>424</v>
      </c>
      <c r="O15" s="16" t="s">
        <v>425</v>
      </c>
      <c r="P15">
        <v>1</v>
      </c>
      <c r="Q15">
        <v>7</v>
      </c>
      <c r="R15" s="16" t="s">
        <v>426</v>
      </c>
      <c r="S15" s="16" t="s">
        <v>427</v>
      </c>
      <c r="T15">
        <v>7</v>
      </c>
      <c r="U15" t="s">
        <v>428</v>
      </c>
      <c r="V15" s="16" t="s">
        <v>429</v>
      </c>
      <c r="W15">
        <v>1</v>
      </c>
      <c r="X15" s="16" t="s">
        <v>430</v>
      </c>
      <c r="Y15">
        <v>1</v>
      </c>
      <c r="Z15" s="16" t="s">
        <v>431</v>
      </c>
      <c r="AA15">
        <v>1</v>
      </c>
      <c r="AB15" s="5">
        <v>99</v>
      </c>
      <c r="AC15" s="4" t="s">
        <v>98</v>
      </c>
      <c r="AD15" s="4">
        <v>1</v>
      </c>
      <c r="AE15" s="11" t="s">
        <v>414</v>
      </c>
      <c r="AF15" s="11">
        <v>1</v>
      </c>
      <c r="AG15" s="17" t="s">
        <v>432</v>
      </c>
      <c r="AH15" s="17" t="s">
        <v>433</v>
      </c>
      <c r="AI15" s="11">
        <v>1</v>
      </c>
      <c r="AJ15" s="17" t="s">
        <v>434</v>
      </c>
      <c r="AK15" s="17" t="s">
        <v>435</v>
      </c>
      <c r="AL15" s="11">
        <v>1</v>
      </c>
      <c r="AM15" s="17" t="s">
        <v>436</v>
      </c>
      <c r="AN15" s="17" t="s">
        <v>437</v>
      </c>
      <c r="AO15" s="11">
        <v>1</v>
      </c>
      <c r="AP15" s="17" t="s">
        <v>438</v>
      </c>
      <c r="AQ15" s="17" t="s">
        <v>439</v>
      </c>
      <c r="AR15" s="11">
        <v>1</v>
      </c>
    </row>
    <row r="16" ht="14.25" spans="1:44">
      <c r="A16" t="s">
        <v>440</v>
      </c>
      <c r="B16">
        <v>1</v>
      </c>
      <c r="C16" t="s">
        <v>441</v>
      </c>
      <c r="D16" t="s">
        <v>442</v>
      </c>
      <c r="E16" t="s">
        <v>443</v>
      </c>
      <c r="F16" t="s">
        <v>223</v>
      </c>
      <c r="G16" t="s">
        <v>47</v>
      </c>
      <c r="H16" t="s">
        <v>444</v>
      </c>
      <c r="I16" t="s">
        <v>445</v>
      </c>
      <c r="J16" t="s">
        <v>446</v>
      </c>
      <c r="K16" t="s">
        <v>447</v>
      </c>
      <c r="L16" t="s">
        <v>448</v>
      </c>
      <c r="M16" t="s">
        <v>449</v>
      </c>
      <c r="N16" s="16" t="s">
        <v>450</v>
      </c>
      <c r="O16" s="16" t="s">
        <v>451</v>
      </c>
      <c r="P16">
        <v>1</v>
      </c>
      <c r="Q16">
        <v>3</v>
      </c>
      <c r="R16" s="16" t="s">
        <v>452</v>
      </c>
      <c r="S16" s="16" t="s">
        <v>453</v>
      </c>
      <c r="T16">
        <v>1</v>
      </c>
      <c r="U16" t="s">
        <v>454</v>
      </c>
      <c r="V16" s="16" t="s">
        <v>455</v>
      </c>
      <c r="W16">
        <v>1</v>
      </c>
      <c r="X16" s="16" t="s">
        <v>456</v>
      </c>
      <c r="Y16">
        <v>1</v>
      </c>
      <c r="Z16" s="16" t="s">
        <v>457</v>
      </c>
      <c r="AA16">
        <v>1</v>
      </c>
      <c r="AB16" s="5">
        <v>99</v>
      </c>
      <c r="AC16" s="4" t="s">
        <v>98</v>
      </c>
      <c r="AD16" s="4">
        <v>1</v>
      </c>
      <c r="AE16" s="11" t="s">
        <v>440</v>
      </c>
      <c r="AF16" s="11">
        <v>1</v>
      </c>
      <c r="AG16" s="17" t="s">
        <v>458</v>
      </c>
      <c r="AH16" s="17" t="s">
        <v>459</v>
      </c>
      <c r="AI16" s="11">
        <v>1</v>
      </c>
      <c r="AJ16" s="17" t="s">
        <v>460</v>
      </c>
      <c r="AK16" s="17" t="s">
        <v>461</v>
      </c>
      <c r="AL16" s="11">
        <v>1</v>
      </c>
      <c r="AM16" s="17" t="s">
        <v>462</v>
      </c>
      <c r="AN16" s="17" t="s">
        <v>463</v>
      </c>
      <c r="AO16" s="11">
        <v>1</v>
      </c>
      <c r="AP16" s="17" t="s">
        <v>464</v>
      </c>
      <c r="AQ16" s="17" t="s">
        <v>465</v>
      </c>
      <c r="AR16" s="11">
        <v>1</v>
      </c>
    </row>
    <row r="17" ht="14.25" spans="1:44">
      <c r="A17" t="s">
        <v>466</v>
      </c>
      <c r="B17">
        <v>1</v>
      </c>
      <c r="C17" t="s">
        <v>467</v>
      </c>
      <c r="D17" t="s">
        <v>468</v>
      </c>
      <c r="E17" t="s">
        <v>469</v>
      </c>
      <c r="F17" t="s">
        <v>223</v>
      </c>
      <c r="G17" t="s">
        <v>331</v>
      </c>
      <c r="H17" t="s">
        <v>470</v>
      </c>
      <c r="I17" t="s">
        <v>471</v>
      </c>
      <c r="J17" t="s">
        <v>472</v>
      </c>
      <c r="K17" t="s">
        <v>473</v>
      </c>
      <c r="L17" t="s">
        <v>474</v>
      </c>
      <c r="M17" t="s">
        <v>475</v>
      </c>
      <c r="N17" s="16" t="s">
        <v>476</v>
      </c>
      <c r="O17" s="16" t="s">
        <v>477</v>
      </c>
      <c r="P17" s="16" t="s">
        <v>478</v>
      </c>
      <c r="Q17">
        <v>19</v>
      </c>
      <c r="R17" s="16" t="s">
        <v>479</v>
      </c>
      <c r="S17" s="16" t="s">
        <v>480</v>
      </c>
      <c r="T17">
        <v>4</v>
      </c>
      <c r="U17" t="s">
        <v>481</v>
      </c>
      <c r="V17" s="16" t="s">
        <v>482</v>
      </c>
      <c r="W17" s="16" t="s">
        <v>483</v>
      </c>
      <c r="X17" s="16" t="s">
        <v>484</v>
      </c>
      <c r="Y17" s="16" t="s">
        <v>485</v>
      </c>
      <c r="Z17" s="16" t="s">
        <v>486</v>
      </c>
      <c r="AA17" s="16" t="s">
        <v>487</v>
      </c>
      <c r="AB17" s="9">
        <v>57</v>
      </c>
      <c r="AC17" s="8" t="s">
        <v>66</v>
      </c>
      <c r="AD17" s="8">
        <v>4</v>
      </c>
      <c r="AE17" s="11" t="s">
        <v>466</v>
      </c>
      <c r="AF17" s="11">
        <v>1</v>
      </c>
      <c r="AG17" s="17" t="s">
        <v>488</v>
      </c>
      <c r="AH17" s="17" t="s">
        <v>489</v>
      </c>
      <c r="AI17" s="17" t="s">
        <v>490</v>
      </c>
      <c r="AJ17" s="17" t="s">
        <v>491</v>
      </c>
      <c r="AK17" s="17" t="s">
        <v>492</v>
      </c>
      <c r="AL17" s="17" t="s">
        <v>493</v>
      </c>
      <c r="AM17" s="17" t="s">
        <v>494</v>
      </c>
      <c r="AN17" s="17" t="s">
        <v>495</v>
      </c>
      <c r="AO17" s="17" t="s">
        <v>496</v>
      </c>
      <c r="AP17" s="17" t="s">
        <v>497</v>
      </c>
      <c r="AQ17" s="17" t="s">
        <v>498</v>
      </c>
      <c r="AR17" s="17" t="s">
        <v>499</v>
      </c>
    </row>
    <row r="18" ht="14.25" spans="1:44">
      <c r="A18" t="s">
        <v>500</v>
      </c>
      <c r="B18">
        <v>1</v>
      </c>
      <c r="C18" t="s">
        <v>501</v>
      </c>
      <c r="D18" t="s">
        <v>502</v>
      </c>
      <c r="E18" t="s">
        <v>503</v>
      </c>
      <c r="F18" t="s">
        <v>47</v>
      </c>
      <c r="G18" t="s">
        <v>504</v>
      </c>
      <c r="H18" t="s">
        <v>505</v>
      </c>
      <c r="I18" t="s">
        <v>85</v>
      </c>
      <c r="J18" t="s">
        <v>506</v>
      </c>
      <c r="K18" t="s">
        <v>507</v>
      </c>
      <c r="L18" t="s">
        <v>508</v>
      </c>
      <c r="M18" t="s">
        <v>89</v>
      </c>
      <c r="N18" s="16" t="s">
        <v>509</v>
      </c>
      <c r="O18" s="16" t="s">
        <v>510</v>
      </c>
      <c r="P18">
        <v>1</v>
      </c>
      <c r="Q18">
        <v>5</v>
      </c>
      <c r="R18" s="16" t="s">
        <v>511</v>
      </c>
      <c r="S18" s="16" t="s">
        <v>512</v>
      </c>
      <c r="T18">
        <v>0</v>
      </c>
      <c r="U18" t="s">
        <v>513</v>
      </c>
      <c r="V18" s="16" t="s">
        <v>514</v>
      </c>
      <c r="W18">
        <v>1</v>
      </c>
      <c r="X18" s="16" t="s">
        <v>515</v>
      </c>
      <c r="Y18">
        <v>1</v>
      </c>
      <c r="Z18" s="16" t="s">
        <v>516</v>
      </c>
      <c r="AA18">
        <v>1</v>
      </c>
      <c r="AB18" s="9">
        <v>95</v>
      </c>
      <c r="AC18" s="8" t="s">
        <v>98</v>
      </c>
      <c r="AD18" s="8">
        <v>1</v>
      </c>
      <c r="AE18" s="11" t="s">
        <v>500</v>
      </c>
      <c r="AF18" s="11">
        <v>1</v>
      </c>
      <c r="AG18" s="17" t="s">
        <v>517</v>
      </c>
      <c r="AH18" s="17" t="s">
        <v>518</v>
      </c>
      <c r="AI18" s="11">
        <v>1</v>
      </c>
      <c r="AJ18" s="17" t="s">
        <v>519</v>
      </c>
      <c r="AK18" s="17" t="s">
        <v>520</v>
      </c>
      <c r="AL18" s="11">
        <v>1</v>
      </c>
      <c r="AM18" s="17" t="s">
        <v>521</v>
      </c>
      <c r="AN18" s="17" t="s">
        <v>522</v>
      </c>
      <c r="AO18" s="11">
        <v>1</v>
      </c>
      <c r="AP18" s="17" t="s">
        <v>523</v>
      </c>
      <c r="AQ18" s="17" t="s">
        <v>524</v>
      </c>
      <c r="AR18" s="11">
        <v>1</v>
      </c>
    </row>
    <row r="19" ht="14.25" spans="1:44">
      <c r="A19" t="s">
        <v>525</v>
      </c>
      <c r="B19">
        <v>1</v>
      </c>
      <c r="C19" t="s">
        <v>526</v>
      </c>
      <c r="D19" t="s">
        <v>527</v>
      </c>
      <c r="E19" t="s">
        <v>528</v>
      </c>
      <c r="F19" t="s">
        <v>331</v>
      </c>
      <c r="G19" t="s">
        <v>529</v>
      </c>
      <c r="H19" t="s">
        <v>530</v>
      </c>
      <c r="I19" t="s">
        <v>114</v>
      </c>
      <c r="J19" t="s">
        <v>531</v>
      </c>
      <c r="K19" t="s">
        <v>532</v>
      </c>
      <c r="L19" t="s">
        <v>533</v>
      </c>
      <c r="M19" t="s">
        <v>363</v>
      </c>
      <c r="N19" s="16" t="s">
        <v>534</v>
      </c>
      <c r="O19" s="16" t="s">
        <v>535</v>
      </c>
      <c r="P19">
        <v>1</v>
      </c>
      <c r="Q19">
        <v>5</v>
      </c>
      <c r="R19" s="16" t="s">
        <v>536</v>
      </c>
      <c r="S19" s="16" t="s">
        <v>537</v>
      </c>
      <c r="T19">
        <v>7</v>
      </c>
      <c r="U19" t="s">
        <v>428</v>
      </c>
      <c r="V19" s="16" t="s">
        <v>538</v>
      </c>
      <c r="W19">
        <v>1</v>
      </c>
      <c r="X19" s="16" t="s">
        <v>539</v>
      </c>
      <c r="Y19">
        <v>1</v>
      </c>
      <c r="Z19" s="16" t="s">
        <v>540</v>
      </c>
      <c r="AA19">
        <v>1</v>
      </c>
      <c r="AB19" s="9">
        <v>95</v>
      </c>
      <c r="AC19" s="8" t="s">
        <v>98</v>
      </c>
      <c r="AD19" s="8">
        <v>1</v>
      </c>
      <c r="AE19" s="11" t="s">
        <v>525</v>
      </c>
      <c r="AF19" s="11">
        <v>1</v>
      </c>
      <c r="AG19" s="17" t="s">
        <v>541</v>
      </c>
      <c r="AH19" s="17" t="s">
        <v>542</v>
      </c>
      <c r="AI19" s="11">
        <v>1</v>
      </c>
      <c r="AJ19" s="17" t="s">
        <v>543</v>
      </c>
      <c r="AK19" s="17" t="s">
        <v>544</v>
      </c>
      <c r="AL19" s="11">
        <v>1</v>
      </c>
      <c r="AM19" s="17" t="s">
        <v>545</v>
      </c>
      <c r="AN19" s="17" t="s">
        <v>546</v>
      </c>
      <c r="AO19" s="11">
        <v>1</v>
      </c>
      <c r="AP19" s="17" t="s">
        <v>547</v>
      </c>
      <c r="AQ19" s="17" t="s">
        <v>548</v>
      </c>
      <c r="AR19" s="11">
        <v>1</v>
      </c>
    </row>
    <row r="20" ht="14.25" spans="1:44">
      <c r="A20" t="s">
        <v>549</v>
      </c>
      <c r="B20">
        <v>1</v>
      </c>
      <c r="C20" t="s">
        <v>550</v>
      </c>
      <c r="D20" t="s">
        <v>551</v>
      </c>
      <c r="E20" t="s">
        <v>552</v>
      </c>
      <c r="F20" t="s">
        <v>553</v>
      </c>
      <c r="G20" t="s">
        <v>47</v>
      </c>
      <c r="H20" t="s">
        <v>554</v>
      </c>
      <c r="I20" t="s">
        <v>555</v>
      </c>
      <c r="J20" t="s">
        <v>556</v>
      </c>
      <c r="K20" t="s">
        <v>557</v>
      </c>
      <c r="L20" t="s">
        <v>558</v>
      </c>
      <c r="M20" t="s">
        <v>117</v>
      </c>
      <c r="N20" s="16" t="s">
        <v>559</v>
      </c>
      <c r="O20" s="16" t="s">
        <v>560</v>
      </c>
      <c r="P20" s="16" t="s">
        <v>561</v>
      </c>
      <c r="Q20">
        <v>18</v>
      </c>
      <c r="R20" s="16" t="s">
        <v>562</v>
      </c>
      <c r="S20" s="16" t="s">
        <v>563</v>
      </c>
      <c r="T20">
        <v>6</v>
      </c>
      <c r="U20" t="s">
        <v>59</v>
      </c>
      <c r="V20" s="16" t="s">
        <v>564</v>
      </c>
      <c r="W20" s="16" t="s">
        <v>565</v>
      </c>
      <c r="X20" s="16" t="s">
        <v>566</v>
      </c>
      <c r="Y20" s="16" t="s">
        <v>567</v>
      </c>
      <c r="Z20" s="16" t="s">
        <v>568</v>
      </c>
      <c r="AA20" s="16" t="s">
        <v>569</v>
      </c>
      <c r="AB20" s="5">
        <v>48</v>
      </c>
      <c r="AC20" s="4" t="s">
        <v>66</v>
      </c>
      <c r="AD20" s="4">
        <v>1</v>
      </c>
      <c r="AE20" s="11" t="s">
        <v>549</v>
      </c>
      <c r="AF20" s="11">
        <v>1</v>
      </c>
      <c r="AG20" s="17" t="s">
        <v>570</v>
      </c>
      <c r="AH20" s="17" t="s">
        <v>571</v>
      </c>
      <c r="AI20" s="17" t="s">
        <v>565</v>
      </c>
      <c r="AJ20" s="17" t="s">
        <v>572</v>
      </c>
      <c r="AK20" s="17" t="s">
        <v>573</v>
      </c>
      <c r="AL20" s="17" t="s">
        <v>565</v>
      </c>
      <c r="AM20" s="17" t="s">
        <v>574</v>
      </c>
      <c r="AN20" s="17" t="s">
        <v>575</v>
      </c>
      <c r="AO20" s="17" t="s">
        <v>565</v>
      </c>
      <c r="AP20" s="17" t="s">
        <v>576</v>
      </c>
      <c r="AQ20" s="17" t="s">
        <v>577</v>
      </c>
      <c r="AR20" s="17" t="s">
        <v>565</v>
      </c>
    </row>
    <row r="21" ht="14.25" spans="1:44">
      <c r="A21" s="14" t="s">
        <v>578</v>
      </c>
      <c r="B21" s="14">
        <v>1</v>
      </c>
      <c r="C21" s="14" t="s">
        <v>579</v>
      </c>
      <c r="D21" s="14" t="s">
        <v>580</v>
      </c>
      <c r="E21" s="14" t="s">
        <v>581</v>
      </c>
      <c r="F21" s="14" t="s">
        <v>164</v>
      </c>
      <c r="G21" s="14" t="s">
        <v>582</v>
      </c>
      <c r="H21" s="14" t="s">
        <v>583</v>
      </c>
      <c r="I21" s="14" t="s">
        <v>584</v>
      </c>
      <c r="J21" s="14" t="s">
        <v>585</v>
      </c>
      <c r="K21" s="14" t="s">
        <v>586</v>
      </c>
      <c r="L21" s="14" t="s">
        <v>587</v>
      </c>
      <c r="M21" s="14" t="s">
        <v>53</v>
      </c>
      <c r="N21" s="19" t="s">
        <v>588</v>
      </c>
      <c r="O21" s="19" t="s">
        <v>589</v>
      </c>
      <c r="P21" s="19" t="s">
        <v>590</v>
      </c>
      <c r="Q21" s="14">
        <v>22</v>
      </c>
      <c r="R21" s="14">
        <v>0.03710019</v>
      </c>
      <c r="S21" s="19" t="s">
        <v>591</v>
      </c>
      <c r="T21" s="14">
        <v>4</v>
      </c>
      <c r="U21" s="14" t="s">
        <v>481</v>
      </c>
      <c r="V21" s="19" t="s">
        <v>592</v>
      </c>
      <c r="W21" s="14">
        <v>-0.000119414470541423</v>
      </c>
      <c r="X21" s="19" t="s">
        <v>593</v>
      </c>
      <c r="Y21" s="19" t="s">
        <v>594</v>
      </c>
      <c r="Z21" s="19" t="s">
        <v>595</v>
      </c>
      <c r="AA21" s="19" t="s">
        <v>596</v>
      </c>
      <c r="AB21" s="5">
        <v>51</v>
      </c>
      <c r="AC21" s="4" t="s">
        <v>66</v>
      </c>
      <c r="AD21" s="4">
        <v>1</v>
      </c>
      <c r="AE21" s="11" t="s">
        <v>578</v>
      </c>
      <c r="AF21" s="11">
        <v>1</v>
      </c>
      <c r="AG21" s="17" t="s">
        <v>597</v>
      </c>
      <c r="AH21" s="17" t="s">
        <v>598</v>
      </c>
      <c r="AI21" s="11">
        <v>-0.00012064544962205</v>
      </c>
      <c r="AJ21" s="17" t="s">
        <v>599</v>
      </c>
      <c r="AK21" s="17" t="s">
        <v>600</v>
      </c>
      <c r="AL21" s="11">
        <v>-0.0001286967527057</v>
      </c>
      <c r="AM21" s="17" t="s">
        <v>601</v>
      </c>
      <c r="AN21" s="17" t="s">
        <v>602</v>
      </c>
      <c r="AO21" s="11">
        <v>-0.000124613798131154</v>
      </c>
      <c r="AP21" s="17" t="s">
        <v>603</v>
      </c>
      <c r="AQ21" s="17" t="s">
        <v>604</v>
      </c>
      <c r="AR21" s="15">
        <v>-5.49896099634183e-5</v>
      </c>
    </row>
    <row r="22" ht="14.25" spans="1:44">
      <c r="A22" t="s">
        <v>605</v>
      </c>
      <c r="B22">
        <v>1</v>
      </c>
      <c r="C22" t="s">
        <v>606</v>
      </c>
      <c r="D22" t="s">
        <v>607</v>
      </c>
      <c r="E22" t="s">
        <v>608</v>
      </c>
      <c r="F22" t="s">
        <v>46</v>
      </c>
      <c r="G22" t="s">
        <v>609</v>
      </c>
      <c r="H22" t="s">
        <v>139</v>
      </c>
      <c r="I22" t="s">
        <v>610</v>
      </c>
      <c r="J22" t="s">
        <v>611</v>
      </c>
      <c r="K22" t="s">
        <v>612</v>
      </c>
      <c r="L22" t="s">
        <v>613</v>
      </c>
      <c r="M22" t="s">
        <v>203</v>
      </c>
      <c r="N22" s="16" t="s">
        <v>614</v>
      </c>
      <c r="O22" s="16" t="s">
        <v>615</v>
      </c>
      <c r="P22">
        <v>1</v>
      </c>
      <c r="Q22">
        <v>17</v>
      </c>
      <c r="R22" s="16" t="s">
        <v>616</v>
      </c>
      <c r="S22" s="16" t="s">
        <v>617</v>
      </c>
      <c r="T22">
        <v>0</v>
      </c>
      <c r="U22" t="s">
        <v>257</v>
      </c>
      <c r="V22" s="16" t="s">
        <v>618</v>
      </c>
      <c r="W22" s="16" t="s">
        <v>619</v>
      </c>
      <c r="X22" s="16" t="s">
        <v>620</v>
      </c>
      <c r="Y22">
        <v>1</v>
      </c>
      <c r="Z22" s="16" t="s">
        <v>621</v>
      </c>
      <c r="AA22">
        <v>1</v>
      </c>
      <c r="AB22" s="9">
        <v>95</v>
      </c>
      <c r="AC22" s="8" t="s">
        <v>98</v>
      </c>
      <c r="AD22" s="8">
        <v>1</v>
      </c>
      <c r="AE22" s="11" t="s">
        <v>605</v>
      </c>
      <c r="AF22" s="11">
        <v>1</v>
      </c>
      <c r="AG22" s="17" t="s">
        <v>622</v>
      </c>
      <c r="AH22" s="17" t="s">
        <v>623</v>
      </c>
      <c r="AI22" s="11">
        <v>1</v>
      </c>
      <c r="AJ22" s="17" t="s">
        <v>624</v>
      </c>
      <c r="AK22" s="17" t="s">
        <v>625</v>
      </c>
      <c r="AL22" s="17" t="s">
        <v>626</v>
      </c>
      <c r="AM22" s="17" t="s">
        <v>627</v>
      </c>
      <c r="AN22" s="17" t="s">
        <v>628</v>
      </c>
      <c r="AO22" s="11">
        <v>1</v>
      </c>
      <c r="AP22" s="17" t="s">
        <v>629</v>
      </c>
      <c r="AQ22" s="17" t="s">
        <v>630</v>
      </c>
      <c r="AR22" s="11">
        <v>1</v>
      </c>
    </row>
    <row r="23" ht="14.25" spans="1:44">
      <c r="A23" t="s">
        <v>631</v>
      </c>
      <c r="B23">
        <v>1</v>
      </c>
      <c r="C23" t="s">
        <v>632</v>
      </c>
      <c r="D23" t="s">
        <v>633</v>
      </c>
      <c r="E23" t="s">
        <v>634</v>
      </c>
      <c r="F23" t="s">
        <v>111</v>
      </c>
      <c r="G23" t="s">
        <v>635</v>
      </c>
      <c r="H23" t="s">
        <v>636</v>
      </c>
      <c r="I23" t="s">
        <v>49</v>
      </c>
      <c r="J23" t="s">
        <v>637</v>
      </c>
      <c r="K23" t="s">
        <v>638</v>
      </c>
      <c r="L23" t="s">
        <v>639</v>
      </c>
      <c r="M23" t="s">
        <v>89</v>
      </c>
      <c r="N23" s="16" t="s">
        <v>640</v>
      </c>
      <c r="O23" s="16" t="s">
        <v>641</v>
      </c>
      <c r="P23">
        <v>1</v>
      </c>
      <c r="Q23">
        <v>9</v>
      </c>
      <c r="R23" s="16" t="s">
        <v>642</v>
      </c>
      <c r="S23" s="16" t="s">
        <v>643</v>
      </c>
      <c r="T23">
        <v>0</v>
      </c>
      <c r="U23" t="s">
        <v>644</v>
      </c>
      <c r="V23" s="16" t="s">
        <v>645</v>
      </c>
      <c r="W23">
        <v>1</v>
      </c>
      <c r="X23" s="16" t="s">
        <v>646</v>
      </c>
      <c r="Y23">
        <v>1</v>
      </c>
      <c r="Z23" s="16" t="s">
        <v>647</v>
      </c>
      <c r="AA23">
        <v>1</v>
      </c>
      <c r="AB23" s="5">
        <v>99</v>
      </c>
      <c r="AC23" s="4" t="s">
        <v>98</v>
      </c>
      <c r="AD23" s="4">
        <v>1</v>
      </c>
      <c r="AE23" s="11" t="s">
        <v>631</v>
      </c>
      <c r="AF23" s="11">
        <v>1</v>
      </c>
      <c r="AG23" s="17" t="s">
        <v>648</v>
      </c>
      <c r="AH23" s="17" t="s">
        <v>649</v>
      </c>
      <c r="AI23" s="11">
        <v>1</v>
      </c>
      <c r="AJ23" s="17" t="s">
        <v>650</v>
      </c>
      <c r="AK23" s="17" t="s">
        <v>651</v>
      </c>
      <c r="AL23" s="11">
        <v>1</v>
      </c>
      <c r="AM23" s="17" t="s">
        <v>652</v>
      </c>
      <c r="AN23" s="17" t="s">
        <v>653</v>
      </c>
      <c r="AO23" s="11">
        <v>1</v>
      </c>
      <c r="AP23" s="17" t="s">
        <v>654</v>
      </c>
      <c r="AQ23" s="17" t="s">
        <v>655</v>
      </c>
      <c r="AR23" s="11">
        <v>1</v>
      </c>
    </row>
    <row r="24" ht="14.25" spans="1:44">
      <c r="A24" t="s">
        <v>656</v>
      </c>
      <c r="B24">
        <v>1</v>
      </c>
      <c r="C24" t="s">
        <v>657</v>
      </c>
      <c r="D24" t="s">
        <v>658</v>
      </c>
      <c r="E24" t="s">
        <v>659</v>
      </c>
      <c r="F24" t="s">
        <v>46</v>
      </c>
      <c r="G24" t="s">
        <v>660</v>
      </c>
      <c r="H24" t="s">
        <v>661</v>
      </c>
      <c r="I24" t="s">
        <v>49</v>
      </c>
      <c r="J24" t="s">
        <v>662</v>
      </c>
      <c r="K24" t="s">
        <v>663</v>
      </c>
      <c r="L24" t="s">
        <v>664</v>
      </c>
      <c r="M24" t="s">
        <v>363</v>
      </c>
      <c r="N24" s="16" t="s">
        <v>665</v>
      </c>
      <c r="O24" s="16" t="s">
        <v>666</v>
      </c>
      <c r="P24" s="16" t="s">
        <v>667</v>
      </c>
      <c r="Q24">
        <v>7</v>
      </c>
      <c r="R24" s="16" t="s">
        <v>668</v>
      </c>
      <c r="S24" s="16" t="s">
        <v>669</v>
      </c>
      <c r="T24">
        <v>3</v>
      </c>
      <c r="U24" t="s">
        <v>670</v>
      </c>
      <c r="V24" s="16" t="s">
        <v>671</v>
      </c>
      <c r="W24">
        <v>-6.97703352597119</v>
      </c>
      <c r="X24" s="16" t="s">
        <v>672</v>
      </c>
      <c r="Y24">
        <v>-7.13048704770323</v>
      </c>
      <c r="Z24" s="16" t="s">
        <v>673</v>
      </c>
      <c r="AA24">
        <v>-6.95538067974374</v>
      </c>
      <c r="AB24" s="5">
        <v>51</v>
      </c>
      <c r="AC24" s="4" t="s">
        <v>66</v>
      </c>
      <c r="AD24" s="4">
        <v>1</v>
      </c>
      <c r="AE24" s="11" t="s">
        <v>656</v>
      </c>
      <c r="AF24" s="11">
        <v>1</v>
      </c>
      <c r="AG24" s="17" t="s">
        <v>674</v>
      </c>
      <c r="AH24" s="17" t="s">
        <v>675</v>
      </c>
      <c r="AI24" s="11">
        <v>-6.98159612484916</v>
      </c>
      <c r="AJ24" s="17" t="s">
        <v>676</v>
      </c>
      <c r="AK24" s="17" t="s">
        <v>677</v>
      </c>
      <c r="AL24" s="11">
        <v>-6.99171678707338</v>
      </c>
      <c r="AM24" s="17" t="s">
        <v>678</v>
      </c>
      <c r="AN24" s="17" t="s">
        <v>679</v>
      </c>
      <c r="AO24" s="11">
        <v>-6.99526820968615</v>
      </c>
      <c r="AP24" s="17" t="s">
        <v>680</v>
      </c>
      <c r="AQ24" s="17" t="s">
        <v>681</v>
      </c>
      <c r="AR24" s="11">
        <v>-7.02114961651399</v>
      </c>
    </row>
    <row r="25" ht="14.25" spans="1:44">
      <c r="A25" t="s">
        <v>682</v>
      </c>
      <c r="B25">
        <v>1</v>
      </c>
      <c r="C25" t="s">
        <v>683</v>
      </c>
      <c r="D25" t="s">
        <v>684</v>
      </c>
      <c r="E25" t="s">
        <v>685</v>
      </c>
      <c r="F25" t="s">
        <v>46</v>
      </c>
      <c r="G25" t="s">
        <v>686</v>
      </c>
      <c r="H25" t="s">
        <v>687</v>
      </c>
      <c r="I25" t="s">
        <v>49</v>
      </c>
      <c r="J25" t="s">
        <v>688</v>
      </c>
      <c r="K25" t="s">
        <v>689</v>
      </c>
      <c r="L25" t="s">
        <v>690</v>
      </c>
      <c r="M25" t="s">
        <v>363</v>
      </c>
      <c r="N25" s="16" t="s">
        <v>691</v>
      </c>
      <c r="O25" s="16" t="s">
        <v>692</v>
      </c>
      <c r="P25" s="16" t="s">
        <v>693</v>
      </c>
      <c r="Q25">
        <v>8</v>
      </c>
      <c r="R25" s="16" t="s">
        <v>694</v>
      </c>
      <c r="S25" s="16" t="s">
        <v>695</v>
      </c>
      <c r="T25">
        <v>3</v>
      </c>
      <c r="U25" t="s">
        <v>696</v>
      </c>
      <c r="V25" s="16" t="s">
        <v>697</v>
      </c>
      <c r="W25" s="16" t="s">
        <v>698</v>
      </c>
      <c r="X25" s="16" t="s">
        <v>699</v>
      </c>
      <c r="Y25" s="16" t="s">
        <v>700</v>
      </c>
      <c r="Z25" s="16" t="s">
        <v>701</v>
      </c>
      <c r="AA25" s="16" t="s">
        <v>702</v>
      </c>
      <c r="AB25" s="9">
        <v>58</v>
      </c>
      <c r="AC25" s="8" t="s">
        <v>66</v>
      </c>
      <c r="AD25" s="8">
        <v>3</v>
      </c>
      <c r="AE25" s="11" t="s">
        <v>682</v>
      </c>
      <c r="AF25" s="11">
        <v>1</v>
      </c>
      <c r="AG25" s="17" t="s">
        <v>703</v>
      </c>
      <c r="AH25" s="17" t="s">
        <v>704</v>
      </c>
      <c r="AI25" s="17" t="s">
        <v>705</v>
      </c>
      <c r="AJ25" s="17" t="s">
        <v>706</v>
      </c>
      <c r="AK25" s="17" t="s">
        <v>707</v>
      </c>
      <c r="AL25" s="17" t="s">
        <v>708</v>
      </c>
      <c r="AM25" s="17" t="s">
        <v>709</v>
      </c>
      <c r="AN25" s="17" t="s">
        <v>710</v>
      </c>
      <c r="AO25" s="17" t="s">
        <v>711</v>
      </c>
      <c r="AP25" s="17" t="s">
        <v>712</v>
      </c>
      <c r="AQ25" s="17" t="s">
        <v>713</v>
      </c>
      <c r="AR25" s="17" t="s">
        <v>714</v>
      </c>
    </row>
    <row r="26" ht="14.25" spans="1:44">
      <c r="A26" t="s">
        <v>715</v>
      </c>
      <c r="B26">
        <v>1</v>
      </c>
      <c r="C26" t="s">
        <v>716</v>
      </c>
      <c r="D26" t="s">
        <v>717</v>
      </c>
      <c r="E26" t="e">
        <f>-E_n/(p_d*COS(theta))</f>
        <v>#NAME?</v>
      </c>
      <c r="F26" t="s">
        <v>164</v>
      </c>
      <c r="G26" t="s">
        <v>224</v>
      </c>
      <c r="H26" t="s">
        <v>718</v>
      </c>
      <c r="I26" t="s">
        <v>114</v>
      </c>
      <c r="J26" t="e">
        <f>-E_n/(p_d*COS(theta))</f>
        <v>#NAME?</v>
      </c>
      <c r="K26" t="s">
        <v>719</v>
      </c>
      <c r="L26" t="s">
        <v>720</v>
      </c>
      <c r="M26" t="s">
        <v>89</v>
      </c>
      <c r="N26" s="16" t="s">
        <v>721</v>
      </c>
      <c r="O26" s="16" t="s">
        <v>722</v>
      </c>
      <c r="P26">
        <v>1</v>
      </c>
      <c r="Q26">
        <v>7</v>
      </c>
      <c r="R26" s="16" t="s">
        <v>723</v>
      </c>
      <c r="S26" s="16" t="s">
        <v>724</v>
      </c>
      <c r="T26">
        <v>0</v>
      </c>
      <c r="U26" t="s">
        <v>725</v>
      </c>
      <c r="V26" s="16" t="s">
        <v>726</v>
      </c>
      <c r="W26">
        <v>1</v>
      </c>
      <c r="X26" s="16" t="s">
        <v>727</v>
      </c>
      <c r="Y26">
        <v>1</v>
      </c>
      <c r="Z26" s="16" t="s">
        <v>728</v>
      </c>
      <c r="AA26">
        <v>1</v>
      </c>
      <c r="AB26" s="9">
        <v>95</v>
      </c>
      <c r="AC26" s="8" t="s">
        <v>98</v>
      </c>
      <c r="AD26" s="8">
        <v>1</v>
      </c>
      <c r="AE26" s="11" t="s">
        <v>715</v>
      </c>
      <c r="AF26" s="11">
        <v>1</v>
      </c>
      <c r="AG26" s="17" t="s">
        <v>729</v>
      </c>
      <c r="AH26" s="17" t="s">
        <v>730</v>
      </c>
      <c r="AI26" s="11">
        <v>1</v>
      </c>
      <c r="AJ26" s="17" t="s">
        <v>731</v>
      </c>
      <c r="AK26" s="17" t="s">
        <v>732</v>
      </c>
      <c r="AL26" s="11">
        <v>1</v>
      </c>
      <c r="AM26" s="17" t="s">
        <v>733</v>
      </c>
      <c r="AN26" s="17" t="s">
        <v>734</v>
      </c>
      <c r="AO26" s="11">
        <v>1</v>
      </c>
      <c r="AP26" s="17" t="s">
        <v>735</v>
      </c>
      <c r="AQ26" s="17" t="s">
        <v>736</v>
      </c>
      <c r="AR26" s="11">
        <v>1</v>
      </c>
    </row>
    <row r="27" ht="14.25" spans="1:44">
      <c r="A27" t="s">
        <v>737</v>
      </c>
      <c r="B27">
        <v>1</v>
      </c>
      <c r="C27" t="s">
        <v>738</v>
      </c>
      <c r="D27" t="s">
        <v>739</v>
      </c>
      <c r="E27" t="s">
        <v>740</v>
      </c>
      <c r="F27" t="s">
        <v>741</v>
      </c>
      <c r="G27" t="s">
        <v>223</v>
      </c>
      <c r="H27" t="s">
        <v>742</v>
      </c>
      <c r="I27" t="s">
        <v>743</v>
      </c>
      <c r="J27" t="s">
        <v>744</v>
      </c>
      <c r="K27" t="s">
        <v>745</v>
      </c>
      <c r="L27" t="s">
        <v>746</v>
      </c>
      <c r="M27" t="s">
        <v>252</v>
      </c>
      <c r="N27" s="16" t="s">
        <v>747</v>
      </c>
      <c r="O27" s="16" t="s">
        <v>748</v>
      </c>
      <c r="P27" s="16" t="s">
        <v>749</v>
      </c>
      <c r="Q27">
        <v>24</v>
      </c>
      <c r="R27" s="16" t="s">
        <v>750</v>
      </c>
      <c r="S27" s="16" t="s">
        <v>751</v>
      </c>
      <c r="T27">
        <v>6</v>
      </c>
      <c r="U27" t="s">
        <v>59</v>
      </c>
      <c r="V27" s="16" t="s">
        <v>752</v>
      </c>
      <c r="W27" s="16" t="s">
        <v>753</v>
      </c>
      <c r="X27" s="16" t="s">
        <v>754</v>
      </c>
      <c r="Y27" s="16" t="s">
        <v>755</v>
      </c>
      <c r="Z27" s="16" t="s">
        <v>756</v>
      </c>
      <c r="AA27" s="16" t="s">
        <v>757</v>
      </c>
      <c r="AB27" s="9">
        <v>69</v>
      </c>
      <c r="AC27" s="8" t="s">
        <v>758</v>
      </c>
      <c r="AD27" s="8">
        <v>2</v>
      </c>
      <c r="AE27" s="11" t="s">
        <v>737</v>
      </c>
      <c r="AF27" s="11">
        <v>1</v>
      </c>
      <c r="AG27" s="17" t="s">
        <v>759</v>
      </c>
      <c r="AH27" s="17" t="s">
        <v>760</v>
      </c>
      <c r="AI27" s="17" t="s">
        <v>761</v>
      </c>
      <c r="AJ27" s="17" t="s">
        <v>762</v>
      </c>
      <c r="AK27" s="17" t="s">
        <v>763</v>
      </c>
      <c r="AL27" s="17" t="s">
        <v>764</v>
      </c>
      <c r="AM27" s="17" t="s">
        <v>765</v>
      </c>
      <c r="AN27" s="17" t="s">
        <v>766</v>
      </c>
      <c r="AO27" s="17" t="s">
        <v>767</v>
      </c>
      <c r="AP27" s="17" t="s">
        <v>768</v>
      </c>
      <c r="AQ27" s="17" t="s">
        <v>769</v>
      </c>
      <c r="AR27" s="17" t="s">
        <v>770</v>
      </c>
    </row>
    <row r="28" ht="14.25" spans="1:44">
      <c r="A28" t="s">
        <v>771</v>
      </c>
      <c r="B28">
        <v>1</v>
      </c>
      <c r="C28" t="s">
        <v>772</v>
      </c>
      <c r="D28" t="s">
        <v>773</v>
      </c>
      <c r="E28" t="s">
        <v>774</v>
      </c>
      <c r="F28" t="s">
        <v>137</v>
      </c>
      <c r="G28" t="s">
        <v>553</v>
      </c>
      <c r="H28" t="s">
        <v>775</v>
      </c>
      <c r="I28" t="s">
        <v>776</v>
      </c>
      <c r="J28" t="s">
        <v>777</v>
      </c>
      <c r="K28" t="s">
        <v>778</v>
      </c>
      <c r="L28" t="s">
        <v>779</v>
      </c>
      <c r="M28" t="s">
        <v>203</v>
      </c>
      <c r="N28" s="16" t="s">
        <v>780</v>
      </c>
      <c r="O28" s="16" t="s">
        <v>781</v>
      </c>
      <c r="P28">
        <v>1</v>
      </c>
      <c r="Q28">
        <v>18</v>
      </c>
      <c r="R28" s="16" t="s">
        <v>782</v>
      </c>
      <c r="S28" s="16" t="s">
        <v>783</v>
      </c>
      <c r="T28">
        <v>2</v>
      </c>
      <c r="U28" t="s">
        <v>148</v>
      </c>
      <c r="V28" s="16" t="s">
        <v>784</v>
      </c>
      <c r="W28">
        <v>1</v>
      </c>
      <c r="X28" s="16" t="s">
        <v>785</v>
      </c>
      <c r="Y28">
        <v>1</v>
      </c>
      <c r="Z28" s="16" t="s">
        <v>786</v>
      </c>
      <c r="AA28">
        <v>1</v>
      </c>
      <c r="AB28" s="5">
        <v>95</v>
      </c>
      <c r="AC28" s="4" t="s">
        <v>98</v>
      </c>
      <c r="AD28" s="4">
        <v>1</v>
      </c>
      <c r="AE28" s="11" t="s">
        <v>771</v>
      </c>
      <c r="AF28" s="11">
        <v>1</v>
      </c>
      <c r="AG28" s="17" t="s">
        <v>787</v>
      </c>
      <c r="AH28" s="17" t="s">
        <v>788</v>
      </c>
      <c r="AI28" s="11">
        <v>1</v>
      </c>
      <c r="AJ28" s="17" t="s">
        <v>789</v>
      </c>
      <c r="AK28" s="17" t="s">
        <v>790</v>
      </c>
      <c r="AL28" s="11">
        <v>1</v>
      </c>
      <c r="AM28" s="17" t="s">
        <v>791</v>
      </c>
      <c r="AN28" s="17" t="s">
        <v>792</v>
      </c>
      <c r="AO28" s="11">
        <v>1</v>
      </c>
      <c r="AP28" s="17" t="s">
        <v>793</v>
      </c>
      <c r="AQ28" s="17" t="s">
        <v>794</v>
      </c>
      <c r="AR28" s="11">
        <v>1</v>
      </c>
    </row>
    <row r="29" ht="14.25" spans="1:44">
      <c r="A29" t="s">
        <v>795</v>
      </c>
      <c r="B29">
        <v>1</v>
      </c>
      <c r="C29" t="s">
        <v>796</v>
      </c>
      <c r="D29" t="s">
        <v>797</v>
      </c>
      <c r="E29" t="s">
        <v>798</v>
      </c>
      <c r="F29" t="s">
        <v>799</v>
      </c>
      <c r="G29" t="s">
        <v>111</v>
      </c>
      <c r="H29" t="s">
        <v>800</v>
      </c>
      <c r="I29" t="s">
        <v>114</v>
      </c>
      <c r="J29" t="s">
        <v>801</v>
      </c>
      <c r="K29" t="s">
        <v>802</v>
      </c>
      <c r="L29" t="s">
        <v>803</v>
      </c>
      <c r="M29" t="s">
        <v>203</v>
      </c>
      <c r="N29" s="16" t="s">
        <v>804</v>
      </c>
      <c r="O29" s="16" t="s">
        <v>805</v>
      </c>
      <c r="P29">
        <v>1</v>
      </c>
      <c r="Q29">
        <v>9</v>
      </c>
      <c r="R29" s="16" t="s">
        <v>806</v>
      </c>
      <c r="S29" s="16" t="s">
        <v>807</v>
      </c>
      <c r="T29">
        <v>3</v>
      </c>
      <c r="U29" t="s">
        <v>808</v>
      </c>
      <c r="V29" s="16" t="s">
        <v>809</v>
      </c>
      <c r="W29" s="16" t="s">
        <v>810</v>
      </c>
      <c r="X29" s="16" t="s">
        <v>811</v>
      </c>
      <c r="Y29" s="16" t="s">
        <v>812</v>
      </c>
      <c r="Z29" s="16" t="s">
        <v>813</v>
      </c>
      <c r="AA29" s="16" t="s">
        <v>814</v>
      </c>
      <c r="AB29" s="9">
        <v>99</v>
      </c>
      <c r="AC29" s="8" t="s">
        <v>98</v>
      </c>
      <c r="AD29" s="8">
        <v>1</v>
      </c>
      <c r="AE29" s="11" t="s">
        <v>795</v>
      </c>
      <c r="AF29" s="11">
        <v>1</v>
      </c>
      <c r="AG29" s="17" t="s">
        <v>815</v>
      </c>
      <c r="AH29" s="17" t="s">
        <v>816</v>
      </c>
      <c r="AI29" s="17" t="s">
        <v>817</v>
      </c>
      <c r="AJ29" s="17" t="s">
        <v>818</v>
      </c>
      <c r="AK29" s="17" t="s">
        <v>819</v>
      </c>
      <c r="AL29" s="17" t="s">
        <v>820</v>
      </c>
      <c r="AM29" s="17" t="s">
        <v>821</v>
      </c>
      <c r="AN29" s="17" t="s">
        <v>822</v>
      </c>
      <c r="AO29" s="17" t="s">
        <v>823</v>
      </c>
      <c r="AP29" s="17" t="s">
        <v>824</v>
      </c>
      <c r="AQ29" s="17" t="s">
        <v>825</v>
      </c>
      <c r="AR29" s="17" t="s">
        <v>826</v>
      </c>
    </row>
    <row r="30" ht="14.25" spans="1:44">
      <c r="A30" t="s">
        <v>827</v>
      </c>
      <c r="B30">
        <v>1</v>
      </c>
      <c r="C30" t="s">
        <v>828</v>
      </c>
      <c r="D30" t="s">
        <v>829</v>
      </c>
      <c r="E30" t="e">
        <f>-tau*LOG((v-v_inf)/(v0-v_inf))</f>
        <v>#NAME?</v>
      </c>
      <c r="F30" t="s">
        <v>799</v>
      </c>
      <c r="G30" t="s">
        <v>46</v>
      </c>
      <c r="H30" t="s">
        <v>830</v>
      </c>
      <c r="I30" t="s">
        <v>114</v>
      </c>
      <c r="J30" t="e">
        <f>-tau*LOG((v-v_inf)/(v0-v_inf))</f>
        <v>#NAME?</v>
      </c>
      <c r="K30" t="s">
        <v>831</v>
      </c>
      <c r="L30" t="s">
        <v>832</v>
      </c>
      <c r="M30" t="s">
        <v>117</v>
      </c>
      <c r="N30" s="16" t="s">
        <v>833</v>
      </c>
      <c r="O30" s="16" t="s">
        <v>834</v>
      </c>
      <c r="P30" s="16" t="s">
        <v>835</v>
      </c>
      <c r="Q30">
        <v>11</v>
      </c>
      <c r="R30">
        <v>0.00091728516</v>
      </c>
      <c r="S30" s="16" t="s">
        <v>836</v>
      </c>
      <c r="T30">
        <v>6</v>
      </c>
      <c r="U30" t="s">
        <v>59</v>
      </c>
      <c r="V30" s="16" t="s">
        <v>837</v>
      </c>
      <c r="W30" s="16" t="s">
        <v>838</v>
      </c>
      <c r="X30" s="16" t="s">
        <v>839</v>
      </c>
      <c r="Y30" s="16" t="s">
        <v>840</v>
      </c>
      <c r="Z30" s="16" t="s">
        <v>841</v>
      </c>
      <c r="AA30" s="16" t="s">
        <v>842</v>
      </c>
      <c r="AB30" s="9">
        <v>56</v>
      </c>
      <c r="AC30" s="8" t="s">
        <v>66</v>
      </c>
      <c r="AD30" s="8">
        <v>2</v>
      </c>
      <c r="AE30" s="11" t="s">
        <v>827</v>
      </c>
      <c r="AF30" s="11">
        <v>1</v>
      </c>
      <c r="AG30" s="17" t="s">
        <v>843</v>
      </c>
      <c r="AH30" s="17" t="s">
        <v>844</v>
      </c>
      <c r="AI30" s="17" t="s">
        <v>845</v>
      </c>
      <c r="AJ30" s="17" t="s">
        <v>846</v>
      </c>
      <c r="AK30" s="17" t="s">
        <v>847</v>
      </c>
      <c r="AL30" s="17" t="s">
        <v>848</v>
      </c>
      <c r="AM30" s="17" t="s">
        <v>849</v>
      </c>
      <c r="AN30" s="17" t="s">
        <v>850</v>
      </c>
      <c r="AO30" s="17" t="s">
        <v>851</v>
      </c>
      <c r="AP30" s="17" t="s">
        <v>852</v>
      </c>
      <c r="AQ30" s="17" t="s">
        <v>853</v>
      </c>
      <c r="AR30" s="17" t="s">
        <v>854</v>
      </c>
    </row>
    <row r="31" ht="14.25" spans="1:44">
      <c r="A31" t="s">
        <v>855</v>
      </c>
      <c r="B31">
        <v>1</v>
      </c>
      <c r="C31" t="s">
        <v>856</v>
      </c>
      <c r="D31" t="s">
        <v>857</v>
      </c>
      <c r="E31" t="s">
        <v>858</v>
      </c>
      <c r="F31" t="s">
        <v>799</v>
      </c>
      <c r="G31" t="s">
        <v>46</v>
      </c>
      <c r="H31" t="s">
        <v>859</v>
      </c>
      <c r="I31" t="s">
        <v>860</v>
      </c>
      <c r="J31" t="s">
        <v>861</v>
      </c>
      <c r="K31" t="s">
        <v>862</v>
      </c>
      <c r="L31" t="s">
        <v>863</v>
      </c>
      <c r="M31" t="s">
        <v>475</v>
      </c>
      <c r="N31" s="16" t="s">
        <v>864</v>
      </c>
      <c r="O31" s="16" t="s">
        <v>865</v>
      </c>
      <c r="P31">
        <v>1</v>
      </c>
      <c r="Q31">
        <v>14</v>
      </c>
      <c r="R31" s="16" t="s">
        <v>866</v>
      </c>
      <c r="S31" s="16" t="s">
        <v>867</v>
      </c>
      <c r="T31">
        <v>5</v>
      </c>
      <c r="U31" t="s">
        <v>868</v>
      </c>
      <c r="V31" s="16" t="s">
        <v>869</v>
      </c>
      <c r="W31">
        <v>1</v>
      </c>
      <c r="X31" s="16" t="s">
        <v>870</v>
      </c>
      <c r="Y31">
        <v>1</v>
      </c>
      <c r="Z31" s="16" t="s">
        <v>871</v>
      </c>
      <c r="AA31">
        <v>1</v>
      </c>
      <c r="AB31" s="9">
        <v>44</v>
      </c>
      <c r="AC31" s="8" t="s">
        <v>66</v>
      </c>
      <c r="AD31" s="8">
        <v>1</v>
      </c>
      <c r="AE31" s="11" t="s">
        <v>855</v>
      </c>
      <c r="AF31" s="11">
        <v>1</v>
      </c>
      <c r="AG31" s="17" t="s">
        <v>872</v>
      </c>
      <c r="AH31" s="17" t="s">
        <v>873</v>
      </c>
      <c r="AI31" s="11">
        <v>1</v>
      </c>
      <c r="AJ31" s="17" t="s">
        <v>874</v>
      </c>
      <c r="AK31" s="17" t="s">
        <v>875</v>
      </c>
      <c r="AL31" s="11">
        <v>1</v>
      </c>
      <c r="AM31" s="17" t="s">
        <v>876</v>
      </c>
      <c r="AN31" s="17" t="s">
        <v>877</v>
      </c>
      <c r="AO31" s="11">
        <v>1</v>
      </c>
      <c r="AP31" s="17" t="s">
        <v>878</v>
      </c>
      <c r="AQ31" s="17" t="s">
        <v>879</v>
      </c>
      <c r="AR31" s="11">
        <v>1</v>
      </c>
    </row>
    <row r="32" ht="14.25" spans="1:44">
      <c r="A32" t="s">
        <v>880</v>
      </c>
      <c r="B32">
        <v>1</v>
      </c>
      <c r="C32" t="s">
        <v>881</v>
      </c>
      <c r="D32" t="s">
        <v>882</v>
      </c>
      <c r="E32" t="s">
        <v>883</v>
      </c>
      <c r="F32" t="s">
        <v>46</v>
      </c>
      <c r="G32" t="s">
        <v>884</v>
      </c>
      <c r="H32" t="s">
        <v>885</v>
      </c>
      <c r="I32" t="s">
        <v>114</v>
      </c>
      <c r="J32" t="s">
        <v>886</v>
      </c>
      <c r="K32" t="s">
        <v>887</v>
      </c>
      <c r="L32" t="s">
        <v>888</v>
      </c>
      <c r="M32" t="s">
        <v>203</v>
      </c>
      <c r="N32" s="16" t="s">
        <v>889</v>
      </c>
      <c r="O32" s="16" t="s">
        <v>890</v>
      </c>
      <c r="P32">
        <v>1</v>
      </c>
      <c r="Q32">
        <v>18</v>
      </c>
      <c r="R32" s="16" t="s">
        <v>891</v>
      </c>
      <c r="S32" s="16" t="s">
        <v>892</v>
      </c>
      <c r="T32">
        <v>0</v>
      </c>
      <c r="U32" t="s">
        <v>893</v>
      </c>
      <c r="V32" s="16" t="s">
        <v>894</v>
      </c>
      <c r="W32">
        <v>1</v>
      </c>
      <c r="X32" s="16" t="s">
        <v>895</v>
      </c>
      <c r="Y32">
        <v>1</v>
      </c>
      <c r="Z32" s="16" t="s">
        <v>896</v>
      </c>
      <c r="AA32">
        <v>1</v>
      </c>
      <c r="AB32" s="9">
        <v>99</v>
      </c>
      <c r="AC32" s="8" t="s">
        <v>98</v>
      </c>
      <c r="AD32" s="8">
        <v>1</v>
      </c>
      <c r="AE32" s="11" t="s">
        <v>880</v>
      </c>
      <c r="AF32" s="11">
        <v>1</v>
      </c>
      <c r="AG32" s="17" t="s">
        <v>897</v>
      </c>
      <c r="AH32" s="17" t="s">
        <v>898</v>
      </c>
      <c r="AI32" s="11">
        <v>1</v>
      </c>
      <c r="AJ32" s="17" t="s">
        <v>899</v>
      </c>
      <c r="AK32" s="17" t="s">
        <v>900</v>
      </c>
      <c r="AL32" s="11">
        <v>1</v>
      </c>
      <c r="AM32" s="17" t="s">
        <v>901</v>
      </c>
      <c r="AN32" s="17" t="s">
        <v>902</v>
      </c>
      <c r="AO32" s="11">
        <v>1</v>
      </c>
      <c r="AP32" s="17" t="s">
        <v>903</v>
      </c>
      <c r="AQ32" s="17" t="s">
        <v>904</v>
      </c>
      <c r="AR32" s="11">
        <v>1</v>
      </c>
    </row>
    <row r="33" ht="14.25" spans="1:44">
      <c r="A33" t="s">
        <v>905</v>
      </c>
      <c r="B33">
        <v>1</v>
      </c>
      <c r="C33" t="s">
        <v>906</v>
      </c>
      <c r="D33" t="s">
        <v>907</v>
      </c>
      <c r="E33" t="s">
        <v>908</v>
      </c>
      <c r="F33" t="s">
        <v>280</v>
      </c>
      <c r="G33" t="s">
        <v>46</v>
      </c>
      <c r="H33" t="s">
        <v>909</v>
      </c>
      <c r="I33" t="s">
        <v>910</v>
      </c>
      <c r="J33" t="s">
        <v>911</v>
      </c>
      <c r="K33" t="s">
        <v>912</v>
      </c>
      <c r="L33" t="s">
        <v>913</v>
      </c>
      <c r="M33" t="s">
        <v>117</v>
      </c>
      <c r="N33" s="16" t="s">
        <v>914</v>
      </c>
      <c r="O33" s="16" t="s">
        <v>915</v>
      </c>
      <c r="P33">
        <v>1</v>
      </c>
      <c r="Q33">
        <v>9</v>
      </c>
      <c r="R33" s="16" t="s">
        <v>916</v>
      </c>
      <c r="S33" s="16" t="s">
        <v>917</v>
      </c>
      <c r="T33">
        <v>5</v>
      </c>
      <c r="U33" t="s">
        <v>918</v>
      </c>
      <c r="V33" s="16" t="s">
        <v>919</v>
      </c>
      <c r="W33">
        <v>1</v>
      </c>
      <c r="X33" s="16" t="s">
        <v>920</v>
      </c>
      <c r="Y33">
        <v>1</v>
      </c>
      <c r="Z33" s="16" t="s">
        <v>921</v>
      </c>
      <c r="AA33">
        <v>1</v>
      </c>
      <c r="AB33" s="9">
        <v>95</v>
      </c>
      <c r="AC33" s="8" t="s">
        <v>98</v>
      </c>
      <c r="AD33" s="8">
        <v>1</v>
      </c>
      <c r="AE33" s="11" t="s">
        <v>905</v>
      </c>
      <c r="AF33" s="11">
        <v>1</v>
      </c>
      <c r="AG33" s="17" t="s">
        <v>922</v>
      </c>
      <c r="AH33" s="17" t="s">
        <v>923</v>
      </c>
      <c r="AI33" s="11">
        <v>1</v>
      </c>
      <c r="AJ33" s="17" t="s">
        <v>924</v>
      </c>
      <c r="AK33" s="17" t="s">
        <v>925</v>
      </c>
      <c r="AL33" s="11">
        <v>1</v>
      </c>
      <c r="AM33" s="17" t="s">
        <v>926</v>
      </c>
      <c r="AN33" s="17" t="s">
        <v>927</v>
      </c>
      <c r="AO33" s="11">
        <v>1</v>
      </c>
      <c r="AP33" s="17" t="s">
        <v>928</v>
      </c>
      <c r="AQ33" s="17" t="s">
        <v>929</v>
      </c>
      <c r="AR33" s="11">
        <v>1</v>
      </c>
    </row>
    <row r="34" ht="14.25" spans="1:44">
      <c r="A34" t="s">
        <v>930</v>
      </c>
      <c r="B34">
        <v>1</v>
      </c>
      <c r="C34" t="s">
        <v>931</v>
      </c>
      <c r="D34" t="s">
        <v>932</v>
      </c>
      <c r="E34" t="s">
        <v>933</v>
      </c>
      <c r="F34" t="s">
        <v>280</v>
      </c>
      <c r="G34" t="s">
        <v>741</v>
      </c>
      <c r="H34" t="s">
        <v>934</v>
      </c>
      <c r="I34" t="s">
        <v>114</v>
      </c>
      <c r="J34" t="s">
        <v>935</v>
      </c>
      <c r="K34" t="s">
        <v>936</v>
      </c>
      <c r="L34" t="s">
        <v>937</v>
      </c>
      <c r="M34" t="s">
        <v>117</v>
      </c>
      <c r="N34" s="16" t="s">
        <v>938</v>
      </c>
      <c r="O34" s="16" t="s">
        <v>939</v>
      </c>
      <c r="P34" s="16" t="s">
        <v>940</v>
      </c>
      <c r="Q34">
        <v>15</v>
      </c>
      <c r="R34" s="16" t="s">
        <v>941</v>
      </c>
      <c r="S34" s="16" t="s">
        <v>942</v>
      </c>
      <c r="T34">
        <v>7</v>
      </c>
      <c r="U34" t="s">
        <v>428</v>
      </c>
      <c r="V34" s="16" t="s">
        <v>943</v>
      </c>
      <c r="W34" s="16" t="s">
        <v>944</v>
      </c>
      <c r="X34" s="16" t="s">
        <v>945</v>
      </c>
      <c r="Y34" s="16" t="s">
        <v>946</v>
      </c>
      <c r="Z34" s="16" t="s">
        <v>947</v>
      </c>
      <c r="AA34" s="16" t="s">
        <v>948</v>
      </c>
      <c r="AB34" s="5">
        <v>56</v>
      </c>
      <c r="AC34" s="4" t="s">
        <v>66</v>
      </c>
      <c r="AD34" s="4">
        <v>2</v>
      </c>
      <c r="AE34" s="11" t="s">
        <v>930</v>
      </c>
      <c r="AF34" s="11">
        <v>1</v>
      </c>
      <c r="AG34" s="17" t="s">
        <v>949</v>
      </c>
      <c r="AH34" s="17" t="s">
        <v>950</v>
      </c>
      <c r="AI34" s="17" t="s">
        <v>944</v>
      </c>
      <c r="AJ34" s="17" t="s">
        <v>951</v>
      </c>
      <c r="AK34" s="17" t="s">
        <v>952</v>
      </c>
      <c r="AL34" s="17" t="s">
        <v>944</v>
      </c>
      <c r="AM34" s="17" t="s">
        <v>953</v>
      </c>
      <c r="AN34" s="17" t="s">
        <v>954</v>
      </c>
      <c r="AO34" s="17" t="s">
        <v>944</v>
      </c>
      <c r="AP34" s="17" t="s">
        <v>955</v>
      </c>
      <c r="AQ34" s="17" t="s">
        <v>956</v>
      </c>
      <c r="AR34" s="17" t="s">
        <v>944</v>
      </c>
    </row>
    <row r="35" ht="14.25" spans="1:44">
      <c r="A35" t="s">
        <v>957</v>
      </c>
      <c r="B35">
        <v>1</v>
      </c>
      <c r="C35" t="s">
        <v>958</v>
      </c>
      <c r="D35" t="s">
        <v>959</v>
      </c>
      <c r="E35" t="e">
        <f>-tau*LOG(1-v/v_inf)</f>
        <v>#NAME?</v>
      </c>
      <c r="F35" t="s">
        <v>799</v>
      </c>
      <c r="G35" t="s">
        <v>960</v>
      </c>
      <c r="H35" t="s">
        <v>961</v>
      </c>
      <c r="I35" t="s">
        <v>114</v>
      </c>
      <c r="J35" t="e">
        <f>-tau*LOG(-v/v_inf+1)</f>
        <v>#NAME?</v>
      </c>
      <c r="K35" t="s">
        <v>962</v>
      </c>
      <c r="L35" t="s">
        <v>963</v>
      </c>
      <c r="M35" t="s">
        <v>117</v>
      </c>
      <c r="N35" s="16" t="s">
        <v>964</v>
      </c>
      <c r="O35" s="16" t="s">
        <v>965</v>
      </c>
      <c r="P35" s="16" t="s">
        <v>966</v>
      </c>
      <c r="Q35">
        <v>11</v>
      </c>
      <c r="R35">
        <v>0.0002800112</v>
      </c>
      <c r="S35" s="16" t="s">
        <v>967</v>
      </c>
      <c r="T35">
        <v>2</v>
      </c>
      <c r="U35" t="s">
        <v>148</v>
      </c>
      <c r="V35" s="16" t="s">
        <v>968</v>
      </c>
      <c r="W35" s="16" t="s">
        <v>969</v>
      </c>
      <c r="X35" s="16" t="s">
        <v>970</v>
      </c>
      <c r="Y35" s="16" t="s">
        <v>971</v>
      </c>
      <c r="Z35" s="16" t="s">
        <v>972</v>
      </c>
      <c r="AA35" s="16" t="s">
        <v>973</v>
      </c>
      <c r="AB35" s="5">
        <v>44</v>
      </c>
      <c r="AC35" s="4" t="s">
        <v>66</v>
      </c>
      <c r="AD35" s="4">
        <v>3</v>
      </c>
      <c r="AE35" s="11" t="s">
        <v>957</v>
      </c>
      <c r="AF35" s="11">
        <v>1</v>
      </c>
      <c r="AG35" s="17" t="s">
        <v>974</v>
      </c>
      <c r="AH35" s="17" t="s">
        <v>975</v>
      </c>
      <c r="AI35" s="17" t="s">
        <v>976</v>
      </c>
      <c r="AJ35" s="17" t="s">
        <v>977</v>
      </c>
      <c r="AK35" s="17" t="s">
        <v>978</v>
      </c>
      <c r="AL35" s="17" t="s">
        <v>979</v>
      </c>
      <c r="AM35" s="17" t="s">
        <v>980</v>
      </c>
      <c r="AN35" s="17" t="s">
        <v>981</v>
      </c>
      <c r="AO35" s="17" t="s">
        <v>982</v>
      </c>
      <c r="AP35" s="17" t="s">
        <v>983</v>
      </c>
      <c r="AQ35" s="17" t="s">
        <v>984</v>
      </c>
      <c r="AR35" s="17" t="s">
        <v>985</v>
      </c>
    </row>
    <row r="36" ht="14.25" spans="1:44">
      <c r="A36" t="s">
        <v>986</v>
      </c>
      <c r="B36">
        <v>1</v>
      </c>
      <c r="C36" t="s">
        <v>987</v>
      </c>
      <c r="D36" t="s">
        <v>988</v>
      </c>
      <c r="E36" t="s">
        <v>989</v>
      </c>
      <c r="F36" t="s">
        <v>196</v>
      </c>
      <c r="G36" t="s">
        <v>990</v>
      </c>
      <c r="H36" t="s">
        <v>991</v>
      </c>
      <c r="I36" t="s">
        <v>114</v>
      </c>
      <c r="J36" t="s">
        <v>992</v>
      </c>
      <c r="K36" t="s">
        <v>993</v>
      </c>
      <c r="L36" t="s">
        <v>994</v>
      </c>
      <c r="M36" t="s">
        <v>117</v>
      </c>
      <c r="N36" s="16" t="s">
        <v>995</v>
      </c>
      <c r="O36" s="16" t="s">
        <v>996</v>
      </c>
      <c r="P36" s="16" t="s">
        <v>997</v>
      </c>
      <c r="Q36">
        <v>15</v>
      </c>
      <c r="R36" s="16" t="s">
        <v>998</v>
      </c>
      <c r="S36" s="16" t="s">
        <v>999</v>
      </c>
      <c r="T36">
        <v>6</v>
      </c>
      <c r="U36" t="s">
        <v>1000</v>
      </c>
      <c r="V36" s="16" t="s">
        <v>1001</v>
      </c>
      <c r="W36" s="16" t="s">
        <v>1002</v>
      </c>
      <c r="X36" s="16" t="s">
        <v>1003</v>
      </c>
      <c r="Y36" s="16" t="s">
        <v>1004</v>
      </c>
      <c r="Z36" s="16" t="s">
        <v>1005</v>
      </c>
      <c r="AA36" s="16" t="s">
        <v>1006</v>
      </c>
      <c r="AB36" s="9">
        <v>56</v>
      </c>
      <c r="AC36" s="8" t="s">
        <v>66</v>
      </c>
      <c r="AD36" s="8">
        <v>4</v>
      </c>
      <c r="AE36" s="11" t="s">
        <v>986</v>
      </c>
      <c r="AF36" s="11">
        <v>1</v>
      </c>
      <c r="AG36" s="17" t="s">
        <v>1007</v>
      </c>
      <c r="AH36" s="17" t="s">
        <v>1008</v>
      </c>
      <c r="AI36" s="17" t="s">
        <v>1002</v>
      </c>
      <c r="AJ36" s="17" t="s">
        <v>1009</v>
      </c>
      <c r="AK36" s="17" t="s">
        <v>1010</v>
      </c>
      <c r="AL36" s="17" t="s">
        <v>1002</v>
      </c>
      <c r="AM36" s="17" t="s">
        <v>1011</v>
      </c>
      <c r="AN36" s="17" t="s">
        <v>1012</v>
      </c>
      <c r="AO36" s="17" t="s">
        <v>1002</v>
      </c>
      <c r="AP36" s="17" t="s">
        <v>1013</v>
      </c>
      <c r="AQ36" s="17" t="s">
        <v>1014</v>
      </c>
      <c r="AR36" s="17" t="s">
        <v>1002</v>
      </c>
    </row>
    <row r="37" ht="14.25" spans="1:44">
      <c r="A37" t="s">
        <v>1015</v>
      </c>
      <c r="B37">
        <v>1</v>
      </c>
      <c r="C37" t="s">
        <v>1016</v>
      </c>
      <c r="D37" t="s">
        <v>1017</v>
      </c>
      <c r="E37" t="s">
        <v>1018</v>
      </c>
      <c r="F37" t="s">
        <v>741</v>
      </c>
      <c r="G37" t="s">
        <v>1019</v>
      </c>
      <c r="H37" t="s">
        <v>1020</v>
      </c>
      <c r="I37" t="s">
        <v>114</v>
      </c>
      <c r="J37" t="s">
        <v>1021</v>
      </c>
      <c r="K37" t="s">
        <v>1022</v>
      </c>
      <c r="L37" t="s">
        <v>1023</v>
      </c>
      <c r="M37" t="s">
        <v>203</v>
      </c>
      <c r="N37" s="16" t="s">
        <v>1024</v>
      </c>
      <c r="O37" s="16" t="s">
        <v>1025</v>
      </c>
      <c r="P37" s="16" t="s">
        <v>1026</v>
      </c>
      <c r="Q37">
        <v>7</v>
      </c>
      <c r="R37">
        <v>0.0041850205</v>
      </c>
      <c r="S37" s="16" t="s">
        <v>1027</v>
      </c>
      <c r="T37">
        <v>1</v>
      </c>
      <c r="U37" t="s">
        <v>1028</v>
      </c>
      <c r="V37" s="16" t="s">
        <v>1029</v>
      </c>
      <c r="W37" s="16" t="s">
        <v>1030</v>
      </c>
      <c r="X37" s="16" t="s">
        <v>1031</v>
      </c>
      <c r="Y37" s="16" t="s">
        <v>1032</v>
      </c>
      <c r="Z37" s="16" t="s">
        <v>1033</v>
      </c>
      <c r="AA37" s="16" t="s">
        <v>1034</v>
      </c>
      <c r="AB37" s="5">
        <v>60</v>
      </c>
      <c r="AC37" s="4" t="s">
        <v>758</v>
      </c>
      <c r="AD37" s="4">
        <v>3</v>
      </c>
      <c r="AE37" s="11" t="s">
        <v>1015</v>
      </c>
      <c r="AF37" s="11">
        <v>1</v>
      </c>
      <c r="AG37" s="17" t="s">
        <v>1035</v>
      </c>
      <c r="AH37" s="17" t="s">
        <v>1036</v>
      </c>
      <c r="AI37" s="17" t="s">
        <v>1037</v>
      </c>
      <c r="AJ37" s="17" t="s">
        <v>1038</v>
      </c>
      <c r="AK37" s="17" t="s">
        <v>1039</v>
      </c>
      <c r="AL37" s="17" t="s">
        <v>1040</v>
      </c>
      <c r="AM37" s="17" t="s">
        <v>1041</v>
      </c>
      <c r="AN37" s="17" t="s">
        <v>1042</v>
      </c>
      <c r="AO37" s="17" t="s">
        <v>1043</v>
      </c>
      <c r="AP37" s="17" t="s">
        <v>1044</v>
      </c>
      <c r="AQ37" s="17" t="s">
        <v>1045</v>
      </c>
      <c r="AR37" s="17" t="s">
        <v>1046</v>
      </c>
    </row>
    <row r="38" ht="14.25" spans="1:44">
      <c r="A38" t="s">
        <v>1047</v>
      </c>
      <c r="B38">
        <v>1</v>
      </c>
      <c r="C38" t="s">
        <v>1048</v>
      </c>
      <c r="D38" t="s">
        <v>1049</v>
      </c>
      <c r="E38" t="s">
        <v>1050</v>
      </c>
      <c r="F38" t="s">
        <v>553</v>
      </c>
      <c r="G38" t="s">
        <v>1051</v>
      </c>
      <c r="H38" t="s">
        <v>1052</v>
      </c>
      <c r="I38" t="s">
        <v>1053</v>
      </c>
      <c r="J38" t="s">
        <v>1054</v>
      </c>
      <c r="K38" t="s">
        <v>1055</v>
      </c>
      <c r="L38" t="s">
        <v>1056</v>
      </c>
      <c r="M38" t="s">
        <v>363</v>
      </c>
      <c r="N38" s="16" t="s">
        <v>1057</v>
      </c>
      <c r="O38" s="16" t="s">
        <v>1058</v>
      </c>
      <c r="P38">
        <v>1</v>
      </c>
      <c r="Q38">
        <v>9</v>
      </c>
      <c r="R38" s="16" t="s">
        <v>1059</v>
      </c>
      <c r="S38" s="16" t="s">
        <v>1060</v>
      </c>
      <c r="T38">
        <v>0</v>
      </c>
      <c r="U38" t="s">
        <v>257</v>
      </c>
      <c r="V38" s="16" t="s">
        <v>1061</v>
      </c>
      <c r="W38">
        <v>1</v>
      </c>
      <c r="X38" s="16" t="s">
        <v>1062</v>
      </c>
      <c r="Y38">
        <v>1</v>
      </c>
      <c r="Z38" s="16" t="s">
        <v>1063</v>
      </c>
      <c r="AA38">
        <v>1</v>
      </c>
      <c r="AB38" s="5">
        <v>95</v>
      </c>
      <c r="AC38" s="4" t="s">
        <v>98</v>
      </c>
      <c r="AD38" s="4">
        <v>1</v>
      </c>
      <c r="AE38" s="11" t="s">
        <v>1047</v>
      </c>
      <c r="AF38" s="11">
        <v>1</v>
      </c>
      <c r="AG38" s="17" t="s">
        <v>1064</v>
      </c>
      <c r="AH38" s="17" t="s">
        <v>1065</v>
      </c>
      <c r="AI38" s="11">
        <v>1</v>
      </c>
      <c r="AJ38" s="17" t="s">
        <v>1066</v>
      </c>
      <c r="AK38" s="17" t="s">
        <v>1067</v>
      </c>
      <c r="AL38" s="11">
        <v>1</v>
      </c>
      <c r="AM38" s="17" t="s">
        <v>1068</v>
      </c>
      <c r="AN38" s="17" t="s">
        <v>1069</v>
      </c>
      <c r="AO38" s="11">
        <v>1</v>
      </c>
      <c r="AP38" s="17" t="s">
        <v>1070</v>
      </c>
      <c r="AQ38" s="17" t="s">
        <v>1071</v>
      </c>
      <c r="AR38" s="11">
        <v>1</v>
      </c>
    </row>
    <row r="39" ht="14.25" spans="1:44">
      <c r="A39" t="s">
        <v>1072</v>
      </c>
      <c r="B39">
        <v>1</v>
      </c>
      <c r="C39" t="s">
        <v>1073</v>
      </c>
      <c r="D39" t="s">
        <v>1074</v>
      </c>
      <c r="E39" t="s">
        <v>1075</v>
      </c>
      <c r="F39" t="s">
        <v>960</v>
      </c>
      <c r="G39" t="s">
        <v>1051</v>
      </c>
      <c r="H39" t="s">
        <v>1076</v>
      </c>
      <c r="I39" t="s">
        <v>114</v>
      </c>
      <c r="J39" t="s">
        <v>1075</v>
      </c>
      <c r="K39" t="s">
        <v>1077</v>
      </c>
      <c r="L39" t="s">
        <v>1078</v>
      </c>
      <c r="M39" t="s">
        <v>89</v>
      </c>
      <c r="N39" s="16" t="s">
        <v>1079</v>
      </c>
      <c r="O39" s="16" t="s">
        <v>1080</v>
      </c>
      <c r="P39">
        <v>1</v>
      </c>
      <c r="Q39">
        <v>7</v>
      </c>
      <c r="R39" s="16" t="s">
        <v>1081</v>
      </c>
      <c r="S39" s="16" t="s">
        <v>1082</v>
      </c>
      <c r="T39">
        <v>0</v>
      </c>
      <c r="U39" t="s">
        <v>893</v>
      </c>
      <c r="V39" s="16" t="s">
        <v>1083</v>
      </c>
      <c r="W39">
        <v>1</v>
      </c>
      <c r="X39" s="16" t="s">
        <v>1084</v>
      </c>
      <c r="Y39">
        <v>1</v>
      </c>
      <c r="Z39" s="16" t="s">
        <v>1085</v>
      </c>
      <c r="AA39">
        <v>1</v>
      </c>
      <c r="AB39" s="9">
        <v>99</v>
      </c>
      <c r="AC39" s="8" t="s">
        <v>98</v>
      </c>
      <c r="AD39" s="8">
        <v>1</v>
      </c>
      <c r="AE39" s="11" t="s">
        <v>1072</v>
      </c>
      <c r="AF39" s="11">
        <v>1</v>
      </c>
      <c r="AG39" s="17" t="s">
        <v>1086</v>
      </c>
      <c r="AH39" s="17" t="s">
        <v>1087</v>
      </c>
      <c r="AI39" s="11">
        <v>1</v>
      </c>
      <c r="AJ39" s="17" t="s">
        <v>1088</v>
      </c>
      <c r="AK39" s="17" t="s">
        <v>1089</v>
      </c>
      <c r="AL39" s="11">
        <v>1</v>
      </c>
      <c r="AM39" s="17" t="s">
        <v>1090</v>
      </c>
      <c r="AN39" s="17" t="s">
        <v>1091</v>
      </c>
      <c r="AO39" s="11">
        <v>1</v>
      </c>
      <c r="AP39" s="17" t="s">
        <v>1092</v>
      </c>
      <c r="AQ39" s="17" t="s">
        <v>1093</v>
      </c>
      <c r="AR39" s="11">
        <v>1</v>
      </c>
    </row>
    <row r="40" ht="14.25" spans="1:44">
      <c r="A40" t="s">
        <v>1094</v>
      </c>
      <c r="B40">
        <v>1</v>
      </c>
      <c r="C40" t="s">
        <v>1095</v>
      </c>
      <c r="D40" t="s">
        <v>1096</v>
      </c>
      <c r="E40" t="s">
        <v>1097</v>
      </c>
      <c r="F40" t="s">
        <v>1098</v>
      </c>
      <c r="G40" t="s">
        <v>1099</v>
      </c>
      <c r="H40" t="s">
        <v>1100</v>
      </c>
      <c r="I40" t="s">
        <v>1101</v>
      </c>
      <c r="J40" t="s">
        <v>1102</v>
      </c>
      <c r="K40" t="s">
        <v>1103</v>
      </c>
      <c r="L40" t="s">
        <v>1104</v>
      </c>
      <c r="M40" t="s">
        <v>53</v>
      </c>
      <c r="N40" s="16" t="s">
        <v>1105</v>
      </c>
      <c r="O40" s="16" t="s">
        <v>1106</v>
      </c>
      <c r="P40">
        <v>1</v>
      </c>
      <c r="Q40">
        <v>10</v>
      </c>
      <c r="R40" s="16" t="s">
        <v>1107</v>
      </c>
      <c r="S40" s="16" t="s">
        <v>1108</v>
      </c>
      <c r="T40">
        <v>7</v>
      </c>
      <c r="U40" t="s">
        <v>428</v>
      </c>
      <c r="V40" s="16" t="s">
        <v>1109</v>
      </c>
      <c r="W40">
        <v>1</v>
      </c>
      <c r="X40" s="16" t="s">
        <v>1110</v>
      </c>
      <c r="Y40">
        <v>1</v>
      </c>
      <c r="Z40" s="16" t="s">
        <v>1111</v>
      </c>
      <c r="AA40">
        <v>1</v>
      </c>
      <c r="AB40" s="9">
        <v>31</v>
      </c>
      <c r="AC40" s="8" t="s">
        <v>1112</v>
      </c>
      <c r="AD40" s="8">
        <v>3</v>
      </c>
      <c r="AE40" s="11" t="s">
        <v>1094</v>
      </c>
      <c r="AF40" s="11">
        <v>1</v>
      </c>
      <c r="AG40" s="17" t="s">
        <v>1113</v>
      </c>
      <c r="AH40" s="17" t="s">
        <v>1114</v>
      </c>
      <c r="AI40" s="11">
        <v>1</v>
      </c>
      <c r="AJ40" s="17" t="s">
        <v>1115</v>
      </c>
      <c r="AK40" s="17" t="s">
        <v>1116</v>
      </c>
      <c r="AL40" s="11">
        <v>1</v>
      </c>
      <c r="AM40" s="17" t="s">
        <v>1117</v>
      </c>
      <c r="AN40" s="17" t="s">
        <v>1118</v>
      </c>
      <c r="AO40" s="11">
        <v>1</v>
      </c>
      <c r="AP40" s="17" t="s">
        <v>1119</v>
      </c>
      <c r="AQ40" s="17" t="s">
        <v>1120</v>
      </c>
      <c r="AR40" s="11">
        <v>1</v>
      </c>
    </row>
    <row r="41" ht="14.25" spans="1:44">
      <c r="A41" t="s">
        <v>1121</v>
      </c>
      <c r="B41">
        <v>1</v>
      </c>
      <c r="C41" t="s">
        <v>1122</v>
      </c>
      <c r="D41" t="s">
        <v>1123</v>
      </c>
      <c r="E41" t="s">
        <v>1124</v>
      </c>
      <c r="F41" t="s">
        <v>1125</v>
      </c>
      <c r="G41" t="s">
        <v>553</v>
      </c>
      <c r="H41" t="s">
        <v>1126</v>
      </c>
      <c r="I41" t="s">
        <v>1127</v>
      </c>
      <c r="J41" t="s">
        <v>1128</v>
      </c>
      <c r="K41" t="s">
        <v>1129</v>
      </c>
      <c r="L41" t="s">
        <v>1130</v>
      </c>
      <c r="M41" t="s">
        <v>89</v>
      </c>
      <c r="N41" s="16" t="s">
        <v>1131</v>
      </c>
      <c r="O41" s="16" t="s">
        <v>1132</v>
      </c>
      <c r="P41">
        <v>1</v>
      </c>
      <c r="Q41">
        <v>5</v>
      </c>
      <c r="R41" s="16" t="s">
        <v>1133</v>
      </c>
      <c r="S41" s="16" t="s">
        <v>1134</v>
      </c>
      <c r="T41">
        <v>0</v>
      </c>
      <c r="U41" t="s">
        <v>1135</v>
      </c>
      <c r="V41" s="16" t="s">
        <v>1136</v>
      </c>
      <c r="W41">
        <v>1</v>
      </c>
      <c r="X41" s="16" t="s">
        <v>1137</v>
      </c>
      <c r="Y41">
        <v>1</v>
      </c>
      <c r="Z41" s="16" t="s">
        <v>1138</v>
      </c>
      <c r="AA41">
        <v>1</v>
      </c>
      <c r="AB41" s="9">
        <v>95</v>
      </c>
      <c r="AC41" s="8" t="s">
        <v>98</v>
      </c>
      <c r="AD41" s="8">
        <v>1</v>
      </c>
      <c r="AE41" s="11" t="s">
        <v>1121</v>
      </c>
      <c r="AF41" s="11">
        <v>1</v>
      </c>
      <c r="AG41" s="17" t="s">
        <v>1139</v>
      </c>
      <c r="AH41" s="17" t="s">
        <v>1140</v>
      </c>
      <c r="AI41" s="11">
        <v>1</v>
      </c>
      <c r="AJ41" s="17" t="s">
        <v>1141</v>
      </c>
      <c r="AK41" s="17" t="s">
        <v>1142</v>
      </c>
      <c r="AL41" s="11">
        <v>1</v>
      </c>
      <c r="AM41" s="17" t="s">
        <v>1143</v>
      </c>
      <c r="AN41" s="17" t="s">
        <v>1144</v>
      </c>
      <c r="AO41" s="11">
        <v>1</v>
      </c>
      <c r="AP41" s="17" t="s">
        <v>1145</v>
      </c>
      <c r="AQ41" s="17" t="s">
        <v>1146</v>
      </c>
      <c r="AR41" s="11">
        <v>1</v>
      </c>
    </row>
    <row r="42" ht="14.25" spans="1:44">
      <c r="A42" t="s">
        <v>1147</v>
      </c>
      <c r="B42">
        <v>1</v>
      </c>
      <c r="C42" t="s">
        <v>1148</v>
      </c>
      <c r="D42" t="s">
        <v>1149</v>
      </c>
      <c r="E42" t="s">
        <v>1150</v>
      </c>
      <c r="F42" t="s">
        <v>686</v>
      </c>
      <c r="G42" t="s">
        <v>553</v>
      </c>
      <c r="H42" t="s">
        <v>1151</v>
      </c>
      <c r="I42" t="s">
        <v>1127</v>
      </c>
      <c r="J42" t="s">
        <v>1152</v>
      </c>
      <c r="K42" t="s">
        <v>1129</v>
      </c>
      <c r="L42" t="s">
        <v>1153</v>
      </c>
      <c r="M42" t="s">
        <v>89</v>
      </c>
      <c r="N42" s="16" t="s">
        <v>1154</v>
      </c>
      <c r="O42" s="16" t="s">
        <v>1155</v>
      </c>
      <c r="P42">
        <v>1</v>
      </c>
      <c r="Q42">
        <v>7</v>
      </c>
      <c r="R42" s="16" t="s">
        <v>1156</v>
      </c>
      <c r="S42" s="16" t="s">
        <v>1157</v>
      </c>
      <c r="T42">
        <v>1</v>
      </c>
      <c r="U42" t="s">
        <v>1158</v>
      </c>
      <c r="V42" s="16" t="s">
        <v>1159</v>
      </c>
      <c r="W42">
        <v>1</v>
      </c>
      <c r="X42" s="16" t="s">
        <v>1160</v>
      </c>
      <c r="Y42">
        <v>1</v>
      </c>
      <c r="Z42" s="16" t="s">
        <v>1161</v>
      </c>
      <c r="AA42">
        <v>1</v>
      </c>
      <c r="AB42" s="5">
        <v>95</v>
      </c>
      <c r="AC42" s="4" t="s">
        <v>98</v>
      </c>
      <c r="AD42" s="4">
        <v>1</v>
      </c>
      <c r="AE42" s="11" t="s">
        <v>1147</v>
      </c>
      <c r="AF42" s="11">
        <v>1</v>
      </c>
      <c r="AG42" s="17" t="s">
        <v>1162</v>
      </c>
      <c r="AH42" s="17" t="s">
        <v>1163</v>
      </c>
      <c r="AI42" s="11">
        <v>1</v>
      </c>
      <c r="AJ42" s="17" t="s">
        <v>1164</v>
      </c>
      <c r="AK42" s="17" t="s">
        <v>1165</v>
      </c>
      <c r="AL42" s="11">
        <v>1</v>
      </c>
      <c r="AM42" s="17" t="s">
        <v>1166</v>
      </c>
      <c r="AN42" s="17" t="s">
        <v>1167</v>
      </c>
      <c r="AO42" s="11">
        <v>1</v>
      </c>
      <c r="AP42" s="17" t="s">
        <v>1168</v>
      </c>
      <c r="AQ42" s="17" t="s">
        <v>1169</v>
      </c>
      <c r="AR42" s="11">
        <v>1</v>
      </c>
    </row>
    <row r="43" ht="14.25" spans="1:44">
      <c r="A43" t="s">
        <v>1170</v>
      </c>
      <c r="B43">
        <v>1</v>
      </c>
      <c r="C43" t="s">
        <v>1171</v>
      </c>
      <c r="D43" t="s">
        <v>1172</v>
      </c>
      <c r="E43" t="s">
        <v>1173</v>
      </c>
      <c r="F43" t="s">
        <v>111</v>
      </c>
      <c r="G43" t="s">
        <v>1174</v>
      </c>
      <c r="H43" t="s">
        <v>1175</v>
      </c>
      <c r="I43" t="s">
        <v>114</v>
      </c>
      <c r="J43" t="s">
        <v>1176</v>
      </c>
      <c r="K43" t="s">
        <v>1177</v>
      </c>
      <c r="L43" t="s">
        <v>1178</v>
      </c>
      <c r="M43" t="s">
        <v>89</v>
      </c>
      <c r="N43" s="16" t="s">
        <v>1179</v>
      </c>
      <c r="O43" s="16" t="s">
        <v>1180</v>
      </c>
      <c r="P43" s="16" t="s">
        <v>1181</v>
      </c>
      <c r="Q43">
        <v>3</v>
      </c>
      <c r="R43">
        <v>0.08631891</v>
      </c>
      <c r="S43" s="16" t="s">
        <v>1182</v>
      </c>
      <c r="T43">
        <v>5</v>
      </c>
      <c r="U43" t="s">
        <v>868</v>
      </c>
      <c r="V43" s="16" t="s">
        <v>1183</v>
      </c>
      <c r="W43" s="16" t="s">
        <v>1184</v>
      </c>
      <c r="X43" s="16" t="s">
        <v>1185</v>
      </c>
      <c r="Y43" s="16" t="s">
        <v>1186</v>
      </c>
      <c r="Z43" s="16" t="s">
        <v>1187</v>
      </c>
      <c r="AA43" s="16" t="s">
        <v>1188</v>
      </c>
      <c r="AB43" s="9">
        <v>60</v>
      </c>
      <c r="AC43" s="8" t="s">
        <v>758</v>
      </c>
      <c r="AD43" s="8">
        <v>2</v>
      </c>
      <c r="AE43" s="11" t="s">
        <v>1170</v>
      </c>
      <c r="AF43" s="11">
        <v>1</v>
      </c>
      <c r="AG43" s="17" t="s">
        <v>1189</v>
      </c>
      <c r="AH43" s="17" t="s">
        <v>1190</v>
      </c>
      <c r="AI43" s="17" t="s">
        <v>1191</v>
      </c>
      <c r="AJ43" s="17" t="s">
        <v>1192</v>
      </c>
      <c r="AK43" s="17" t="s">
        <v>1193</v>
      </c>
      <c r="AL43" s="17" t="s">
        <v>1194</v>
      </c>
      <c r="AM43" s="17" t="s">
        <v>1195</v>
      </c>
      <c r="AN43" s="17" t="s">
        <v>1196</v>
      </c>
      <c r="AO43" s="17" t="s">
        <v>1197</v>
      </c>
      <c r="AP43" s="17" t="s">
        <v>1198</v>
      </c>
      <c r="AQ43" s="17" t="s">
        <v>1199</v>
      </c>
      <c r="AR43" s="17" t="s">
        <v>1200</v>
      </c>
    </row>
    <row r="44" ht="14.25" spans="1:44">
      <c r="A44" t="s">
        <v>1201</v>
      </c>
      <c r="B44">
        <v>1</v>
      </c>
      <c r="C44" t="s">
        <v>1202</v>
      </c>
      <c r="D44" t="s">
        <v>1203</v>
      </c>
      <c r="E44" t="s">
        <v>1204</v>
      </c>
      <c r="F44" t="s">
        <v>1205</v>
      </c>
      <c r="G44" t="s">
        <v>1051</v>
      </c>
      <c r="H44" t="s">
        <v>1206</v>
      </c>
      <c r="I44" t="s">
        <v>860</v>
      </c>
      <c r="J44" t="s">
        <v>1207</v>
      </c>
      <c r="K44" t="s">
        <v>1208</v>
      </c>
      <c r="L44" t="s">
        <v>1209</v>
      </c>
      <c r="M44" t="s">
        <v>89</v>
      </c>
      <c r="N44" s="16" t="s">
        <v>1210</v>
      </c>
      <c r="O44" s="16" t="s">
        <v>1211</v>
      </c>
      <c r="P44">
        <v>1</v>
      </c>
      <c r="Q44">
        <v>5</v>
      </c>
      <c r="R44" s="16" t="s">
        <v>1212</v>
      </c>
      <c r="S44" s="16" t="s">
        <v>1213</v>
      </c>
      <c r="T44">
        <v>4</v>
      </c>
      <c r="U44" t="s">
        <v>1214</v>
      </c>
      <c r="V44" s="16" t="s">
        <v>1215</v>
      </c>
      <c r="W44">
        <v>1</v>
      </c>
      <c r="X44" s="16" t="s">
        <v>1216</v>
      </c>
      <c r="Y44">
        <v>1</v>
      </c>
      <c r="Z44" s="16" t="s">
        <v>1217</v>
      </c>
      <c r="AA44">
        <v>1</v>
      </c>
      <c r="AB44" s="5">
        <v>99</v>
      </c>
      <c r="AC44" s="4" t="s">
        <v>98</v>
      </c>
      <c r="AD44" s="4">
        <v>1</v>
      </c>
      <c r="AE44" s="11" t="s">
        <v>1201</v>
      </c>
      <c r="AF44" s="11">
        <v>1</v>
      </c>
      <c r="AG44" s="17" t="s">
        <v>1218</v>
      </c>
      <c r="AH44" s="17" t="s">
        <v>1219</v>
      </c>
      <c r="AI44" s="11">
        <v>1</v>
      </c>
      <c r="AJ44" s="17" t="s">
        <v>1220</v>
      </c>
      <c r="AK44" s="17" t="s">
        <v>1221</v>
      </c>
      <c r="AL44" s="11">
        <v>1</v>
      </c>
      <c r="AM44" s="17" t="s">
        <v>1222</v>
      </c>
      <c r="AN44" s="17" t="s">
        <v>1223</v>
      </c>
      <c r="AO44" s="11">
        <v>1</v>
      </c>
      <c r="AP44" s="17" t="s">
        <v>1224</v>
      </c>
      <c r="AQ44" s="17" t="s">
        <v>1225</v>
      </c>
      <c r="AR44" s="11">
        <v>1</v>
      </c>
    </row>
    <row r="45" ht="14.25" spans="1:44">
      <c r="A45" t="s">
        <v>1226</v>
      </c>
      <c r="B45">
        <v>1</v>
      </c>
      <c r="C45" t="s">
        <v>1227</v>
      </c>
      <c r="D45" t="s">
        <v>1228</v>
      </c>
      <c r="E45" t="s">
        <v>1229</v>
      </c>
      <c r="F45" t="s">
        <v>280</v>
      </c>
      <c r="G45" t="s">
        <v>46</v>
      </c>
      <c r="H45" t="s">
        <v>1230</v>
      </c>
      <c r="I45" t="s">
        <v>910</v>
      </c>
      <c r="J45" t="s">
        <v>1231</v>
      </c>
      <c r="K45" t="s">
        <v>1232</v>
      </c>
      <c r="L45" t="s">
        <v>1233</v>
      </c>
      <c r="M45" t="s">
        <v>89</v>
      </c>
      <c r="N45" s="16" t="s">
        <v>1234</v>
      </c>
      <c r="O45" s="16" t="s">
        <v>1235</v>
      </c>
      <c r="P45">
        <v>1</v>
      </c>
      <c r="Q45">
        <v>3</v>
      </c>
      <c r="R45">
        <v>1.2609547</v>
      </c>
      <c r="S45" s="16" t="s">
        <v>1236</v>
      </c>
      <c r="T45">
        <v>1</v>
      </c>
      <c r="U45" t="s">
        <v>1237</v>
      </c>
      <c r="V45" s="16" t="s">
        <v>1238</v>
      </c>
      <c r="W45">
        <v>1</v>
      </c>
      <c r="X45" s="16" t="s">
        <v>1239</v>
      </c>
      <c r="Y45">
        <v>1</v>
      </c>
      <c r="Z45" s="16" t="s">
        <v>1240</v>
      </c>
      <c r="AA45">
        <v>1</v>
      </c>
      <c r="AB45" s="5">
        <v>95</v>
      </c>
      <c r="AC45" s="4" t="s">
        <v>98</v>
      </c>
      <c r="AD45" s="4">
        <v>1</v>
      </c>
      <c r="AE45" s="11" t="s">
        <v>1226</v>
      </c>
      <c r="AF45" s="11">
        <v>1</v>
      </c>
      <c r="AG45" s="17" t="s">
        <v>1241</v>
      </c>
      <c r="AH45" s="17" t="s">
        <v>1242</v>
      </c>
      <c r="AI45" s="11">
        <v>1</v>
      </c>
      <c r="AJ45" s="17" t="s">
        <v>1243</v>
      </c>
      <c r="AK45" s="17" t="s">
        <v>1244</v>
      </c>
      <c r="AL45" s="11">
        <v>1</v>
      </c>
      <c r="AM45" s="17" t="s">
        <v>1245</v>
      </c>
      <c r="AN45" s="17" t="s">
        <v>1246</v>
      </c>
      <c r="AO45" s="11">
        <v>1</v>
      </c>
      <c r="AP45" s="17" t="s">
        <v>1247</v>
      </c>
      <c r="AQ45" s="17" t="s">
        <v>1248</v>
      </c>
      <c r="AR45" s="11">
        <v>1</v>
      </c>
    </row>
    <row r="46" ht="14.25" spans="1:44">
      <c r="A46" t="s">
        <v>1249</v>
      </c>
      <c r="B46">
        <v>1</v>
      </c>
      <c r="C46" t="s">
        <v>1250</v>
      </c>
      <c r="D46" t="s">
        <v>1251</v>
      </c>
      <c r="E46" t="s">
        <v>1252</v>
      </c>
      <c r="F46" t="s">
        <v>83</v>
      </c>
      <c r="G46" t="s">
        <v>1253</v>
      </c>
      <c r="H46" t="s">
        <v>1254</v>
      </c>
      <c r="I46" t="s">
        <v>114</v>
      </c>
      <c r="J46" t="s">
        <v>1252</v>
      </c>
      <c r="K46" t="s">
        <v>1253</v>
      </c>
      <c r="L46" t="s">
        <v>168</v>
      </c>
      <c r="M46" t="s">
        <v>168</v>
      </c>
      <c r="N46" s="16" t="s">
        <v>1255</v>
      </c>
      <c r="O46" s="16" t="s">
        <v>1256</v>
      </c>
      <c r="P46" s="16" t="s">
        <v>1257</v>
      </c>
      <c r="Q46">
        <v>1</v>
      </c>
      <c r="R46">
        <v>1.1090674</v>
      </c>
      <c r="S46">
        <v>0</v>
      </c>
      <c r="T46">
        <v>4</v>
      </c>
      <c r="U46" t="s">
        <v>208</v>
      </c>
      <c r="V46" s="16" t="s">
        <v>1258</v>
      </c>
      <c r="W46" s="16" t="s">
        <v>1259</v>
      </c>
      <c r="X46" s="16" t="s">
        <v>1260</v>
      </c>
      <c r="Y46">
        <v>-0.132110294349699</v>
      </c>
      <c r="Z46" s="16" t="s">
        <v>1261</v>
      </c>
      <c r="AA46">
        <v>-0.773271573897478</v>
      </c>
      <c r="AB46" s="5">
        <v>92</v>
      </c>
      <c r="AC46" s="4" t="s">
        <v>235</v>
      </c>
      <c r="AD46" s="4">
        <v>1</v>
      </c>
      <c r="AE46" s="11" t="s">
        <v>1249</v>
      </c>
      <c r="AF46" s="11">
        <v>1</v>
      </c>
      <c r="AG46" s="17" t="s">
        <v>1262</v>
      </c>
      <c r="AH46" s="17" t="s">
        <v>1263</v>
      </c>
      <c r="AI46" s="17" t="s">
        <v>1264</v>
      </c>
      <c r="AJ46" s="17" t="s">
        <v>1265</v>
      </c>
      <c r="AK46" s="17" t="s">
        <v>1266</v>
      </c>
      <c r="AL46" s="17" t="s">
        <v>1267</v>
      </c>
      <c r="AM46" s="17" t="s">
        <v>1268</v>
      </c>
      <c r="AN46" s="17" t="s">
        <v>1269</v>
      </c>
      <c r="AO46" s="17" t="s">
        <v>1270</v>
      </c>
      <c r="AP46" s="17" t="s">
        <v>1271</v>
      </c>
      <c r="AQ46" s="17" t="s">
        <v>1272</v>
      </c>
      <c r="AR46" s="17" t="s">
        <v>1273</v>
      </c>
    </row>
    <row r="47" ht="14.25" spans="1:44">
      <c r="A47" t="s">
        <v>1274</v>
      </c>
      <c r="B47">
        <v>1</v>
      </c>
      <c r="C47" t="s">
        <v>1275</v>
      </c>
      <c r="D47" t="s">
        <v>1276</v>
      </c>
      <c r="E47" t="s">
        <v>1277</v>
      </c>
      <c r="F47" t="s">
        <v>280</v>
      </c>
      <c r="G47" t="s">
        <v>223</v>
      </c>
      <c r="H47" t="s">
        <v>1278</v>
      </c>
      <c r="I47" t="s">
        <v>1279</v>
      </c>
      <c r="J47" t="s">
        <v>1280</v>
      </c>
      <c r="K47" t="s">
        <v>1281</v>
      </c>
      <c r="L47" t="s">
        <v>1282</v>
      </c>
      <c r="M47" t="s">
        <v>363</v>
      </c>
      <c r="N47" s="16" t="s">
        <v>1283</v>
      </c>
      <c r="O47" s="16" t="s">
        <v>1284</v>
      </c>
      <c r="P47">
        <v>1</v>
      </c>
      <c r="Q47">
        <v>12</v>
      </c>
      <c r="R47" s="16" t="s">
        <v>1285</v>
      </c>
      <c r="S47" s="16" t="s">
        <v>1286</v>
      </c>
      <c r="T47">
        <v>5</v>
      </c>
      <c r="U47" t="s">
        <v>918</v>
      </c>
      <c r="V47" s="16" t="s">
        <v>1287</v>
      </c>
      <c r="W47">
        <v>1</v>
      </c>
      <c r="X47" s="16" t="s">
        <v>1288</v>
      </c>
      <c r="Y47">
        <v>1</v>
      </c>
      <c r="Z47" s="16" t="s">
        <v>1289</v>
      </c>
      <c r="AA47">
        <v>1</v>
      </c>
      <c r="AB47" s="5">
        <v>95</v>
      </c>
      <c r="AC47" s="4" t="s">
        <v>98</v>
      </c>
      <c r="AD47" s="4">
        <v>1</v>
      </c>
      <c r="AE47" s="11" t="s">
        <v>1274</v>
      </c>
      <c r="AF47" s="11">
        <v>1</v>
      </c>
      <c r="AG47" s="17" t="s">
        <v>1290</v>
      </c>
      <c r="AH47" s="17" t="s">
        <v>1291</v>
      </c>
      <c r="AI47" s="11">
        <v>1</v>
      </c>
      <c r="AJ47" s="17" t="s">
        <v>1292</v>
      </c>
      <c r="AK47" s="17" t="s">
        <v>1293</v>
      </c>
      <c r="AL47" s="11">
        <v>1</v>
      </c>
      <c r="AM47" s="17" t="s">
        <v>1294</v>
      </c>
      <c r="AN47" s="17" t="s">
        <v>1295</v>
      </c>
      <c r="AO47" s="11">
        <v>1</v>
      </c>
      <c r="AP47" s="17" t="s">
        <v>1296</v>
      </c>
      <c r="AQ47" s="17" t="s">
        <v>1297</v>
      </c>
      <c r="AR47" s="11">
        <v>1</v>
      </c>
    </row>
    <row r="48" ht="14.25" spans="1:44">
      <c r="A48" t="s">
        <v>1298</v>
      </c>
      <c r="B48">
        <v>1</v>
      </c>
      <c r="C48" t="s">
        <v>1299</v>
      </c>
      <c r="D48" t="s">
        <v>1300</v>
      </c>
      <c r="E48" t="s">
        <v>1301</v>
      </c>
      <c r="F48" t="s">
        <v>111</v>
      </c>
      <c r="G48" t="s">
        <v>1302</v>
      </c>
      <c r="H48" t="s">
        <v>1303</v>
      </c>
      <c r="I48" t="s">
        <v>114</v>
      </c>
      <c r="J48" t="s">
        <v>1301</v>
      </c>
      <c r="K48" t="s">
        <v>1304</v>
      </c>
      <c r="L48" t="s">
        <v>1305</v>
      </c>
      <c r="M48" t="s">
        <v>363</v>
      </c>
      <c r="N48" s="16" t="s">
        <v>1306</v>
      </c>
      <c r="O48" s="16" t="s">
        <v>1307</v>
      </c>
      <c r="P48">
        <v>1</v>
      </c>
      <c r="Q48">
        <v>9</v>
      </c>
      <c r="R48" s="16" t="s">
        <v>1308</v>
      </c>
      <c r="S48" s="16" t="s">
        <v>1309</v>
      </c>
      <c r="T48">
        <v>1</v>
      </c>
      <c r="U48" t="s">
        <v>1158</v>
      </c>
      <c r="V48" s="16" t="s">
        <v>1310</v>
      </c>
      <c r="W48">
        <v>1</v>
      </c>
      <c r="X48" s="16" t="s">
        <v>1311</v>
      </c>
      <c r="Y48">
        <v>1</v>
      </c>
      <c r="Z48" s="16" t="s">
        <v>1312</v>
      </c>
      <c r="AA48">
        <v>1</v>
      </c>
      <c r="AB48" s="5">
        <v>96</v>
      </c>
      <c r="AC48" s="4" t="s">
        <v>98</v>
      </c>
      <c r="AD48" s="4">
        <v>1</v>
      </c>
      <c r="AE48" s="11" t="s">
        <v>1298</v>
      </c>
      <c r="AF48" s="11">
        <v>1</v>
      </c>
      <c r="AG48" s="17" t="s">
        <v>1313</v>
      </c>
      <c r="AH48" s="17" t="s">
        <v>1314</v>
      </c>
      <c r="AI48" s="11">
        <v>1</v>
      </c>
      <c r="AJ48" s="17" t="s">
        <v>1315</v>
      </c>
      <c r="AK48" s="17" t="s">
        <v>1316</v>
      </c>
      <c r="AL48" s="11">
        <v>1</v>
      </c>
      <c r="AM48" s="17" t="s">
        <v>1317</v>
      </c>
      <c r="AN48" s="17" t="s">
        <v>1318</v>
      </c>
      <c r="AO48" s="11">
        <v>1</v>
      </c>
      <c r="AP48" s="17" t="s">
        <v>1319</v>
      </c>
      <c r="AQ48" s="17" t="s">
        <v>1320</v>
      </c>
      <c r="AR48" s="11">
        <v>1</v>
      </c>
    </row>
    <row r="49" ht="14.25" spans="1:44">
      <c r="A49" t="s">
        <v>1321</v>
      </c>
      <c r="B49">
        <v>1</v>
      </c>
      <c r="C49" t="s">
        <v>1322</v>
      </c>
      <c r="D49" t="s">
        <v>1323</v>
      </c>
      <c r="E49" t="s">
        <v>1324</v>
      </c>
      <c r="F49" t="s">
        <v>553</v>
      </c>
      <c r="G49" t="s">
        <v>1125</v>
      </c>
      <c r="H49" t="s">
        <v>1325</v>
      </c>
      <c r="I49" t="s">
        <v>1326</v>
      </c>
      <c r="J49" t="s">
        <v>1327</v>
      </c>
      <c r="K49" t="s">
        <v>1328</v>
      </c>
      <c r="L49" t="s">
        <v>1329</v>
      </c>
      <c r="M49" t="s">
        <v>89</v>
      </c>
      <c r="N49" s="16" t="s">
        <v>1330</v>
      </c>
      <c r="O49" s="16" t="s">
        <v>1331</v>
      </c>
      <c r="P49">
        <v>1</v>
      </c>
      <c r="Q49">
        <v>11</v>
      </c>
      <c r="R49" s="16" t="s">
        <v>1332</v>
      </c>
      <c r="S49" s="16" t="s">
        <v>1333</v>
      </c>
      <c r="T49">
        <v>0</v>
      </c>
      <c r="U49" t="s">
        <v>1334</v>
      </c>
      <c r="V49" s="16" t="s">
        <v>1335</v>
      </c>
      <c r="W49">
        <v>1</v>
      </c>
      <c r="X49" s="16" t="s">
        <v>1336</v>
      </c>
      <c r="Y49">
        <v>1</v>
      </c>
      <c r="Z49" s="16" t="s">
        <v>1337</v>
      </c>
      <c r="AA49">
        <v>1</v>
      </c>
      <c r="AB49" s="5">
        <v>99</v>
      </c>
      <c r="AC49" s="4" t="s">
        <v>98</v>
      </c>
      <c r="AD49" s="4">
        <v>1</v>
      </c>
      <c r="AE49" s="11" t="s">
        <v>1321</v>
      </c>
      <c r="AF49" s="11">
        <v>1</v>
      </c>
      <c r="AG49" s="17" t="s">
        <v>1338</v>
      </c>
      <c r="AH49" s="17" t="s">
        <v>1339</v>
      </c>
      <c r="AI49" s="11">
        <v>1</v>
      </c>
      <c r="AJ49" s="17" t="s">
        <v>1340</v>
      </c>
      <c r="AK49" s="17" t="s">
        <v>1341</v>
      </c>
      <c r="AL49" s="11">
        <v>1</v>
      </c>
      <c r="AM49" s="17" t="s">
        <v>1342</v>
      </c>
      <c r="AN49" s="17" t="s">
        <v>1343</v>
      </c>
      <c r="AO49" s="11">
        <v>1</v>
      </c>
      <c r="AP49" s="17" t="s">
        <v>1344</v>
      </c>
      <c r="AQ49" s="17" t="s">
        <v>1345</v>
      </c>
      <c r="AR49" s="11">
        <v>1</v>
      </c>
    </row>
    <row r="50" ht="14.25" spans="1:44">
      <c r="A50" t="s">
        <v>1346</v>
      </c>
      <c r="B50">
        <v>1</v>
      </c>
      <c r="C50" t="s">
        <v>1347</v>
      </c>
      <c r="D50" t="s">
        <v>1348</v>
      </c>
      <c r="E50" t="s">
        <v>1349</v>
      </c>
      <c r="F50" t="s">
        <v>1350</v>
      </c>
      <c r="G50" t="s">
        <v>1302</v>
      </c>
      <c r="H50" t="s">
        <v>1351</v>
      </c>
      <c r="I50" t="s">
        <v>114</v>
      </c>
      <c r="J50" t="s">
        <v>1349</v>
      </c>
      <c r="K50" t="s">
        <v>1352</v>
      </c>
      <c r="L50" t="s">
        <v>1353</v>
      </c>
      <c r="M50" t="s">
        <v>89</v>
      </c>
      <c r="N50" s="16" t="s">
        <v>1354</v>
      </c>
      <c r="O50" s="16" t="s">
        <v>1355</v>
      </c>
      <c r="P50" s="16" t="s">
        <v>1356</v>
      </c>
      <c r="Q50">
        <v>7</v>
      </c>
      <c r="R50" s="16" t="s">
        <v>1357</v>
      </c>
      <c r="S50" s="16" t="s">
        <v>1358</v>
      </c>
      <c r="T50">
        <v>0</v>
      </c>
      <c r="U50" t="s">
        <v>1359</v>
      </c>
      <c r="V50" s="16" t="s">
        <v>1360</v>
      </c>
      <c r="W50" s="16" t="s">
        <v>1361</v>
      </c>
      <c r="X50" s="16" t="s">
        <v>1362</v>
      </c>
      <c r="Y50" s="16" t="s">
        <v>1363</v>
      </c>
      <c r="Z50" s="16" t="s">
        <v>1364</v>
      </c>
      <c r="AA50" s="16" t="s">
        <v>1365</v>
      </c>
      <c r="AB50" s="5">
        <v>54</v>
      </c>
      <c r="AC50" s="4" t="s">
        <v>66</v>
      </c>
      <c r="AD50" s="4">
        <v>1</v>
      </c>
      <c r="AE50" s="11" t="s">
        <v>1346</v>
      </c>
      <c r="AF50" s="11">
        <v>1</v>
      </c>
      <c r="AG50" s="17" t="s">
        <v>1366</v>
      </c>
      <c r="AH50" s="17" t="s">
        <v>1367</v>
      </c>
      <c r="AI50" s="17" t="s">
        <v>1361</v>
      </c>
      <c r="AJ50" s="17" t="s">
        <v>1368</v>
      </c>
      <c r="AK50" s="17" t="s">
        <v>1369</v>
      </c>
      <c r="AL50" s="17" t="s">
        <v>1361</v>
      </c>
      <c r="AM50" s="17" t="s">
        <v>1370</v>
      </c>
      <c r="AN50" s="17" t="s">
        <v>1367</v>
      </c>
      <c r="AO50" s="17" t="s">
        <v>1361</v>
      </c>
      <c r="AP50" s="17" t="s">
        <v>1371</v>
      </c>
      <c r="AQ50" s="17" t="s">
        <v>1367</v>
      </c>
      <c r="AR50" s="17" t="s">
        <v>1361</v>
      </c>
    </row>
    <row r="51" ht="14.25" spans="1:44">
      <c r="A51" t="s">
        <v>1372</v>
      </c>
      <c r="B51">
        <v>1</v>
      </c>
      <c r="C51" t="s">
        <v>1373</v>
      </c>
      <c r="D51" t="s">
        <v>1374</v>
      </c>
      <c r="E51" t="s">
        <v>1375</v>
      </c>
      <c r="F51" t="s">
        <v>111</v>
      </c>
      <c r="G51" t="s">
        <v>1376</v>
      </c>
      <c r="H51" t="s">
        <v>1377</v>
      </c>
      <c r="I51" t="s">
        <v>114</v>
      </c>
      <c r="J51" t="s">
        <v>1378</v>
      </c>
      <c r="K51" t="s">
        <v>1379</v>
      </c>
      <c r="L51" t="s">
        <v>1380</v>
      </c>
      <c r="M51" t="s">
        <v>117</v>
      </c>
      <c r="N51" s="16" t="s">
        <v>1381</v>
      </c>
      <c r="O51" s="16" t="s">
        <v>1382</v>
      </c>
      <c r="P51" s="16" t="s">
        <v>1383</v>
      </c>
      <c r="Q51">
        <v>7</v>
      </c>
      <c r="R51" s="16" t="s">
        <v>1384</v>
      </c>
      <c r="S51" s="16" t="s">
        <v>1385</v>
      </c>
      <c r="T51">
        <v>0</v>
      </c>
      <c r="U51" t="s">
        <v>257</v>
      </c>
      <c r="V51" s="16" t="s">
        <v>1386</v>
      </c>
      <c r="W51" s="16" t="s">
        <v>1387</v>
      </c>
      <c r="X51" s="16" t="s">
        <v>1388</v>
      </c>
      <c r="Y51" s="16" t="s">
        <v>1389</v>
      </c>
      <c r="Z51" s="16" t="s">
        <v>1390</v>
      </c>
      <c r="AA51" s="16" t="s">
        <v>1391</v>
      </c>
      <c r="AB51" s="9">
        <v>25</v>
      </c>
      <c r="AC51" s="8" t="s">
        <v>1112</v>
      </c>
      <c r="AD51" s="8">
        <v>1</v>
      </c>
      <c r="AE51" s="11" t="s">
        <v>1372</v>
      </c>
      <c r="AF51" s="11">
        <v>1</v>
      </c>
      <c r="AG51" s="17" t="s">
        <v>1392</v>
      </c>
      <c r="AH51" s="17" t="s">
        <v>1393</v>
      </c>
      <c r="AI51" s="17" t="s">
        <v>1394</v>
      </c>
      <c r="AJ51" s="17" t="s">
        <v>1395</v>
      </c>
      <c r="AK51" s="17" t="s">
        <v>1396</v>
      </c>
      <c r="AL51" s="17" t="s">
        <v>1397</v>
      </c>
      <c r="AM51" s="17" t="s">
        <v>1398</v>
      </c>
      <c r="AN51" s="17" t="s">
        <v>1399</v>
      </c>
      <c r="AO51" s="17" t="s">
        <v>1400</v>
      </c>
      <c r="AP51" s="17" t="s">
        <v>1401</v>
      </c>
      <c r="AQ51" s="17" t="s">
        <v>1402</v>
      </c>
      <c r="AR51" s="17" t="s">
        <v>1403</v>
      </c>
    </row>
    <row r="52" ht="14.25" spans="1:44">
      <c r="A52" t="s">
        <v>1404</v>
      </c>
      <c r="B52">
        <v>1</v>
      </c>
      <c r="C52" t="s">
        <v>1405</v>
      </c>
      <c r="D52" t="s">
        <v>1406</v>
      </c>
      <c r="E52" t="e">
        <f>-LOG(x/(A*COS(omega_d*_xleta.t+phi)))/_xleta.t</f>
        <v>#NAME?</v>
      </c>
      <c r="F52" t="s">
        <v>1407</v>
      </c>
      <c r="G52" t="s">
        <v>1408</v>
      </c>
      <c r="H52" t="s">
        <v>1409</v>
      </c>
      <c r="I52" t="s">
        <v>114</v>
      </c>
      <c r="J52" t="e">
        <f>-LOG(x/(A*COS(omega_d*_xleta.t+phi)))/_xleta.t</f>
        <v>#NAME?</v>
      </c>
      <c r="K52" t="s">
        <v>1410</v>
      </c>
      <c r="L52" t="s">
        <v>1411</v>
      </c>
      <c r="M52" t="s">
        <v>1412</v>
      </c>
      <c r="N52" s="16" t="s">
        <v>1413</v>
      </c>
      <c r="O52" s="16" t="s">
        <v>1414</v>
      </c>
      <c r="P52" s="16" t="s">
        <v>1415</v>
      </c>
      <c r="Q52">
        <v>32</v>
      </c>
      <c r="R52" s="16" t="s">
        <v>1416</v>
      </c>
      <c r="S52" s="16" t="s">
        <v>1417</v>
      </c>
      <c r="T52">
        <v>3</v>
      </c>
      <c r="U52" t="s">
        <v>696</v>
      </c>
      <c r="V52" s="16" t="s">
        <v>1418</v>
      </c>
      <c r="W52" s="16" t="s">
        <v>1419</v>
      </c>
      <c r="X52" s="16" t="s">
        <v>1420</v>
      </c>
      <c r="Y52" s="16" t="s">
        <v>1421</v>
      </c>
      <c r="Z52" s="16" t="s">
        <v>1422</v>
      </c>
      <c r="AA52" s="16" t="s">
        <v>1423</v>
      </c>
      <c r="AB52" s="9">
        <v>11</v>
      </c>
      <c r="AC52" s="8" t="s">
        <v>1112</v>
      </c>
      <c r="AD52" s="8">
        <v>6</v>
      </c>
      <c r="AE52" s="11" t="s">
        <v>1404</v>
      </c>
      <c r="AF52" s="11">
        <v>1</v>
      </c>
      <c r="AG52" s="17" t="s">
        <v>1424</v>
      </c>
      <c r="AH52" s="17" t="s">
        <v>1425</v>
      </c>
      <c r="AI52" s="17" t="s">
        <v>1426</v>
      </c>
      <c r="AJ52" s="17" t="s">
        <v>1427</v>
      </c>
      <c r="AK52" s="17" t="s">
        <v>1428</v>
      </c>
      <c r="AL52" s="17" t="s">
        <v>1429</v>
      </c>
      <c r="AM52" s="17" t="s">
        <v>1430</v>
      </c>
      <c r="AN52" s="17" t="s">
        <v>1431</v>
      </c>
      <c r="AO52" s="17" t="s">
        <v>1432</v>
      </c>
      <c r="AP52" s="17" t="s">
        <v>1433</v>
      </c>
      <c r="AQ52" s="17" t="s">
        <v>1434</v>
      </c>
      <c r="AR52" s="17" t="s">
        <v>1435</v>
      </c>
    </row>
    <row r="53" ht="14.25" spans="1:44">
      <c r="A53" t="s">
        <v>1436</v>
      </c>
      <c r="B53">
        <v>1</v>
      </c>
      <c r="C53" t="s">
        <v>1437</v>
      </c>
      <c r="D53" t="s">
        <v>1438</v>
      </c>
      <c r="E53" t="s">
        <v>1439</v>
      </c>
      <c r="F53" t="s">
        <v>1440</v>
      </c>
      <c r="G53" t="s">
        <v>1441</v>
      </c>
      <c r="H53" t="s">
        <v>1442</v>
      </c>
      <c r="I53" t="s">
        <v>1443</v>
      </c>
      <c r="J53" t="s">
        <v>1444</v>
      </c>
      <c r="K53" t="s">
        <v>1445</v>
      </c>
      <c r="L53" t="s">
        <v>1446</v>
      </c>
      <c r="M53" t="s">
        <v>117</v>
      </c>
      <c r="N53" s="16" t="s">
        <v>1447</v>
      </c>
      <c r="O53" s="16" t="s">
        <v>1448</v>
      </c>
      <c r="P53" s="16" t="s">
        <v>1449</v>
      </c>
      <c r="Q53">
        <v>22</v>
      </c>
      <c r="R53" s="16" t="s">
        <v>1450</v>
      </c>
      <c r="S53" s="16" t="s">
        <v>1451</v>
      </c>
      <c r="T53">
        <v>7</v>
      </c>
      <c r="U53" t="s">
        <v>428</v>
      </c>
      <c r="V53" s="16" t="s">
        <v>1452</v>
      </c>
      <c r="W53" s="16" t="s">
        <v>1453</v>
      </c>
      <c r="X53" s="16" t="s">
        <v>1454</v>
      </c>
      <c r="Y53" s="16" t="s">
        <v>1455</v>
      </c>
      <c r="Z53" s="16" t="s">
        <v>1456</v>
      </c>
      <c r="AA53" s="16" t="s">
        <v>1457</v>
      </c>
      <c r="AB53" s="9">
        <v>33</v>
      </c>
      <c r="AC53" s="8" t="s">
        <v>1112</v>
      </c>
      <c r="AD53" s="8">
        <v>8</v>
      </c>
      <c r="AE53" s="11" t="s">
        <v>1436</v>
      </c>
      <c r="AF53" s="11">
        <v>1</v>
      </c>
      <c r="AG53" s="17" t="s">
        <v>1458</v>
      </c>
      <c r="AH53" s="17" t="s">
        <v>1459</v>
      </c>
      <c r="AI53" s="17" t="s">
        <v>1460</v>
      </c>
      <c r="AJ53" s="17" t="s">
        <v>1461</v>
      </c>
      <c r="AK53" s="17" t="s">
        <v>1462</v>
      </c>
      <c r="AL53" s="17" t="s">
        <v>1463</v>
      </c>
      <c r="AM53" s="17" t="s">
        <v>1464</v>
      </c>
      <c r="AN53" s="17" t="s">
        <v>1465</v>
      </c>
      <c r="AO53" s="17" t="s">
        <v>1466</v>
      </c>
      <c r="AP53" s="17" t="s">
        <v>1467</v>
      </c>
      <c r="AQ53" s="17" t="s">
        <v>1468</v>
      </c>
      <c r="AR53" s="17" t="s">
        <v>1469</v>
      </c>
    </row>
    <row r="54" ht="14.25" spans="1:44">
      <c r="A54" t="s">
        <v>1470</v>
      </c>
      <c r="B54">
        <v>1</v>
      </c>
      <c r="C54" t="s">
        <v>1471</v>
      </c>
      <c r="D54" t="s">
        <v>1472</v>
      </c>
      <c r="E54" t="s">
        <v>1473</v>
      </c>
      <c r="F54" t="s">
        <v>1474</v>
      </c>
      <c r="G54" t="s">
        <v>1475</v>
      </c>
      <c r="H54" t="s">
        <v>1476</v>
      </c>
      <c r="I54" t="s">
        <v>1101</v>
      </c>
      <c r="J54" t="s">
        <v>1477</v>
      </c>
      <c r="K54" t="s">
        <v>1478</v>
      </c>
      <c r="L54" t="s">
        <v>1479</v>
      </c>
      <c r="M54" t="s">
        <v>53</v>
      </c>
      <c r="N54" s="16" t="s">
        <v>1480</v>
      </c>
      <c r="O54" s="16" t="s">
        <v>1481</v>
      </c>
      <c r="P54" s="16" t="s">
        <v>1482</v>
      </c>
      <c r="Q54">
        <v>8</v>
      </c>
      <c r="R54" s="16" t="s">
        <v>1483</v>
      </c>
      <c r="S54" s="16" t="s">
        <v>1484</v>
      </c>
      <c r="T54">
        <v>1</v>
      </c>
      <c r="U54" t="s">
        <v>1158</v>
      </c>
      <c r="V54" s="16" t="s">
        <v>1485</v>
      </c>
      <c r="W54" s="16" t="s">
        <v>1486</v>
      </c>
      <c r="X54" s="16" t="s">
        <v>1487</v>
      </c>
      <c r="Y54" s="16" t="s">
        <v>1488</v>
      </c>
      <c r="Z54" s="16" t="s">
        <v>1489</v>
      </c>
      <c r="AA54" s="16" t="s">
        <v>1490</v>
      </c>
      <c r="AB54" s="9">
        <v>61</v>
      </c>
      <c r="AC54" s="8" t="s">
        <v>758</v>
      </c>
      <c r="AD54" s="8">
        <v>1</v>
      </c>
      <c r="AE54" s="11" t="s">
        <v>1470</v>
      </c>
      <c r="AF54" s="11">
        <v>1</v>
      </c>
      <c r="AG54" s="17" t="s">
        <v>1491</v>
      </c>
      <c r="AH54" s="17" t="s">
        <v>1492</v>
      </c>
      <c r="AI54" s="17" t="s">
        <v>1486</v>
      </c>
      <c r="AJ54" s="17" t="s">
        <v>1493</v>
      </c>
      <c r="AK54" s="17" t="s">
        <v>1494</v>
      </c>
      <c r="AL54" s="17" t="s">
        <v>1486</v>
      </c>
      <c r="AM54" s="17" t="s">
        <v>1495</v>
      </c>
      <c r="AN54" s="17" t="s">
        <v>1496</v>
      </c>
      <c r="AO54" s="17" t="s">
        <v>1486</v>
      </c>
      <c r="AP54" s="17" t="s">
        <v>1497</v>
      </c>
      <c r="AQ54" s="17" t="s">
        <v>1498</v>
      </c>
      <c r="AR54" s="17" t="s">
        <v>1486</v>
      </c>
    </row>
  </sheetData>
  <sortState ref="A2:AE326">
    <sortCondition ref="B2:B326"/>
    <sortCondition ref="A2:A326"/>
  </sortState>
  <conditionalFormatting sqref="AB2:AB54">
    <cfRule type="cellIs" dxfId="0" priority="1" operator="greaterThanOrEqual">
      <formula>95</formula>
    </cfRule>
    <cfRule type="cellIs" dxfId="1" priority="2" operator="between">
      <formula>80</formula>
      <formula>94</formula>
    </cfRule>
    <cfRule type="cellIs" dxfId="2" priority="3" operator="between">
      <formula>60</formula>
      <formula>79</formula>
    </cfRule>
    <cfRule type="cellIs" dxfId="3" priority="4" operator="between">
      <formula>40</formula>
      <formula>59</formula>
    </cfRule>
    <cfRule type="cellIs" dxfId="4" priority="5" operator="lessThan">
      <formula>40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6"/>
  <sheetViews>
    <sheetView workbookViewId="0">
      <selection activeCell="H31" sqref="H31"/>
    </sheetView>
  </sheetViews>
  <sheetFormatPr defaultColWidth="9" defaultRowHeight="13.5" outlineLevelCol="3"/>
  <cols>
    <col min="4" max="4" width="13.75"/>
  </cols>
  <sheetData>
    <row r="1" spans="1:4">
      <c r="A1" t="s">
        <v>0</v>
      </c>
      <c r="B1" t="s">
        <v>1</v>
      </c>
      <c r="C1" t="s">
        <v>25</v>
      </c>
      <c r="D1" t="s">
        <v>26</v>
      </c>
    </row>
    <row r="2" spans="1:4">
      <c r="A2" t="s">
        <v>42</v>
      </c>
      <c r="B2">
        <v>1</v>
      </c>
      <c r="C2" s="16" t="s">
        <v>64</v>
      </c>
      <c r="D2" s="16" t="s">
        <v>65</v>
      </c>
    </row>
    <row r="3" spans="1:4">
      <c r="A3" t="s">
        <v>42</v>
      </c>
      <c r="B3">
        <v>2</v>
      </c>
    </row>
    <row r="4" spans="1:4">
      <c r="A4" t="s">
        <v>42</v>
      </c>
      <c r="B4">
        <v>3</v>
      </c>
    </row>
    <row r="5" spans="1:4">
      <c r="A5" t="s">
        <v>42</v>
      </c>
      <c r="B5">
        <v>4</v>
      </c>
    </row>
    <row r="6" spans="1:4">
      <c r="A6" t="s">
        <v>42</v>
      </c>
      <c r="B6">
        <v>5</v>
      </c>
    </row>
    <row r="7" spans="1:4">
      <c r="A7" t="s">
        <v>42</v>
      </c>
      <c r="B7">
        <v>6</v>
      </c>
    </row>
    <row r="8" spans="1:4">
      <c r="A8" t="s">
        <v>42</v>
      </c>
      <c r="B8">
        <v>7</v>
      </c>
    </row>
    <row r="9" spans="1:4">
      <c r="A9" t="s">
        <v>42</v>
      </c>
      <c r="B9">
        <v>8</v>
      </c>
    </row>
    <row r="10" spans="1:4">
      <c r="A10" t="s">
        <v>42</v>
      </c>
      <c r="B10">
        <v>9</v>
      </c>
    </row>
    <row r="11" spans="1:4">
      <c r="A11" t="s">
        <v>42</v>
      </c>
      <c r="B11">
        <v>10</v>
      </c>
    </row>
    <row r="12" spans="1:4">
      <c r="A12" t="s">
        <v>79</v>
      </c>
      <c r="B12">
        <v>1</v>
      </c>
      <c r="C12" s="16" t="s">
        <v>97</v>
      </c>
      <c r="D12">
        <v>1</v>
      </c>
    </row>
    <row r="13" spans="1:4">
      <c r="A13" t="s">
        <v>79</v>
      </c>
      <c r="B13">
        <v>2</v>
      </c>
    </row>
    <row r="14" spans="1:4">
      <c r="A14" t="s">
        <v>79</v>
      </c>
      <c r="B14">
        <v>3</v>
      </c>
    </row>
    <row r="15" spans="1:4">
      <c r="A15" t="s">
        <v>79</v>
      </c>
      <c r="B15">
        <v>4</v>
      </c>
    </row>
    <row r="16" spans="1:4">
      <c r="A16" t="s">
        <v>107</v>
      </c>
      <c r="B16">
        <v>1</v>
      </c>
      <c r="C16" s="16" t="s">
        <v>124</v>
      </c>
      <c r="D16">
        <v>1</v>
      </c>
    </row>
    <row r="17" spans="1:4">
      <c r="A17" t="s">
        <v>107</v>
      </c>
      <c r="B17">
        <v>2</v>
      </c>
    </row>
    <row r="18" spans="1:4">
      <c r="A18" t="s">
        <v>107</v>
      </c>
      <c r="B18">
        <v>3</v>
      </c>
    </row>
    <row r="19" spans="1:4">
      <c r="A19" t="s">
        <v>107</v>
      </c>
      <c r="B19">
        <v>4</v>
      </c>
    </row>
    <row r="20" spans="1:4">
      <c r="A20" t="s">
        <v>107</v>
      </c>
      <c r="B20">
        <v>5</v>
      </c>
    </row>
    <row r="21" spans="1:4">
      <c r="A21" t="s">
        <v>107</v>
      </c>
      <c r="B21">
        <v>6</v>
      </c>
    </row>
    <row r="22" spans="1:4">
      <c r="A22" t="s">
        <v>107</v>
      </c>
      <c r="B22">
        <v>7</v>
      </c>
    </row>
    <row r="23" spans="1:4">
      <c r="A23" t="s">
        <v>107</v>
      </c>
      <c r="B23">
        <v>8</v>
      </c>
    </row>
    <row r="24" spans="1:4">
      <c r="A24" t="s">
        <v>107</v>
      </c>
      <c r="B24">
        <v>9</v>
      </c>
    </row>
    <row r="25" spans="1:4">
      <c r="A25" t="s">
        <v>107</v>
      </c>
      <c r="B25">
        <v>10</v>
      </c>
    </row>
    <row r="26" spans="1:4">
      <c r="A26" t="s">
        <v>133</v>
      </c>
      <c r="B26">
        <v>1</v>
      </c>
      <c r="C26" s="16" t="s">
        <v>151</v>
      </c>
      <c r="D26">
        <v>1</v>
      </c>
    </row>
    <row r="27" spans="1:4">
      <c r="A27" t="s">
        <v>133</v>
      </c>
      <c r="B27">
        <v>2</v>
      </c>
    </row>
    <row r="28" spans="1:4">
      <c r="A28" t="s">
        <v>133</v>
      </c>
      <c r="B28">
        <v>3</v>
      </c>
    </row>
    <row r="29" spans="1:4">
      <c r="A29" t="s">
        <v>133</v>
      </c>
      <c r="B29">
        <v>4</v>
      </c>
    </row>
    <row r="30" spans="1:4">
      <c r="A30" t="s">
        <v>133</v>
      </c>
      <c r="B30">
        <v>5</v>
      </c>
    </row>
    <row r="31" spans="1:4">
      <c r="A31" t="s">
        <v>133</v>
      </c>
      <c r="B31">
        <v>6</v>
      </c>
    </row>
    <row r="32" spans="1:4">
      <c r="A32" t="s">
        <v>133</v>
      </c>
      <c r="B32">
        <v>7</v>
      </c>
    </row>
    <row r="33" spans="1:4">
      <c r="A33" t="s">
        <v>160</v>
      </c>
      <c r="B33">
        <v>1</v>
      </c>
      <c r="C33" s="16" t="s">
        <v>178</v>
      </c>
      <c r="D33" s="16" t="s">
        <v>179</v>
      </c>
    </row>
    <row r="34" spans="1:4">
      <c r="A34" t="s">
        <v>160</v>
      </c>
      <c r="B34">
        <v>2</v>
      </c>
    </row>
    <row r="35" spans="1:4">
      <c r="A35" t="s">
        <v>192</v>
      </c>
      <c r="B35">
        <v>1</v>
      </c>
      <c r="C35" s="16" t="s">
        <v>211</v>
      </c>
      <c r="D35">
        <v>1</v>
      </c>
    </row>
    <row r="36" spans="1:4">
      <c r="A36" t="s">
        <v>192</v>
      </c>
      <c r="B36">
        <v>2</v>
      </c>
    </row>
    <row r="37" spans="1:4">
      <c r="A37" t="s">
        <v>192</v>
      </c>
      <c r="B37">
        <v>3</v>
      </c>
    </row>
    <row r="38" spans="1:4">
      <c r="A38" t="s">
        <v>192</v>
      </c>
      <c r="B38">
        <v>4</v>
      </c>
    </row>
    <row r="39" spans="1:4">
      <c r="A39" t="s">
        <v>192</v>
      </c>
      <c r="B39">
        <v>5</v>
      </c>
    </row>
    <row r="40" spans="1:4">
      <c r="A40" t="s">
        <v>192</v>
      </c>
      <c r="B40">
        <v>6</v>
      </c>
    </row>
    <row r="41" spans="1:4">
      <c r="A41" t="s">
        <v>192</v>
      </c>
      <c r="B41">
        <v>7</v>
      </c>
    </row>
    <row r="42" spans="1:4">
      <c r="A42" t="s">
        <v>192</v>
      </c>
      <c r="B42">
        <v>8</v>
      </c>
    </row>
    <row r="43" spans="1:4">
      <c r="A43" t="s">
        <v>192</v>
      </c>
      <c r="B43">
        <v>9</v>
      </c>
    </row>
    <row r="44" spans="1:4">
      <c r="A44" t="s">
        <v>192</v>
      </c>
      <c r="B44">
        <v>10</v>
      </c>
    </row>
    <row r="45" spans="1:4">
      <c r="A45" t="s">
        <v>220</v>
      </c>
      <c r="B45">
        <v>1</v>
      </c>
      <c r="C45" s="16" t="s">
        <v>234</v>
      </c>
      <c r="D45">
        <v>1</v>
      </c>
    </row>
    <row r="46" spans="1:4">
      <c r="A46" t="s">
        <v>220</v>
      </c>
      <c r="B46">
        <v>2</v>
      </c>
    </row>
    <row r="47" spans="1:4">
      <c r="A47" t="s">
        <v>220</v>
      </c>
      <c r="B47">
        <v>3</v>
      </c>
    </row>
    <row r="48" spans="1:4">
      <c r="A48" t="s">
        <v>220</v>
      </c>
      <c r="B48">
        <v>4</v>
      </c>
    </row>
    <row r="49" spans="1:4">
      <c r="A49" t="s">
        <v>220</v>
      </c>
      <c r="B49">
        <v>5</v>
      </c>
    </row>
    <row r="50" spans="1:4">
      <c r="A50" t="s">
        <v>220</v>
      </c>
      <c r="B50">
        <v>6</v>
      </c>
    </row>
    <row r="51" spans="1:4">
      <c r="A51" t="s">
        <v>220</v>
      </c>
      <c r="B51">
        <v>7</v>
      </c>
    </row>
    <row r="52" spans="1:4">
      <c r="A52" t="s">
        <v>220</v>
      </c>
      <c r="B52">
        <v>8</v>
      </c>
    </row>
    <row r="53" spans="1:4">
      <c r="A53" t="s">
        <v>244</v>
      </c>
      <c r="B53">
        <v>1</v>
      </c>
      <c r="C53" s="16" t="s">
        <v>262</v>
      </c>
      <c r="D53" s="16" t="s">
        <v>263</v>
      </c>
    </row>
    <row r="54" spans="1:4">
      <c r="A54" t="s">
        <v>244</v>
      </c>
      <c r="B54">
        <v>2</v>
      </c>
    </row>
    <row r="55" spans="1:4">
      <c r="A55" t="s">
        <v>244</v>
      </c>
      <c r="B55">
        <v>3</v>
      </c>
    </row>
    <row r="56" spans="1:4">
      <c r="A56" t="s">
        <v>244</v>
      </c>
      <c r="B56">
        <v>4</v>
      </c>
    </row>
    <row r="57" spans="1:4">
      <c r="A57" t="s">
        <v>244</v>
      </c>
      <c r="B57">
        <v>5</v>
      </c>
    </row>
    <row r="58" spans="1:4">
      <c r="A58" t="s">
        <v>244</v>
      </c>
      <c r="B58">
        <v>6</v>
      </c>
    </row>
    <row r="59" spans="1:4">
      <c r="A59" t="s">
        <v>244</v>
      </c>
      <c r="B59">
        <v>7</v>
      </c>
    </row>
    <row r="60" spans="1:4">
      <c r="A60" t="s">
        <v>244</v>
      </c>
      <c r="B60">
        <v>8</v>
      </c>
    </row>
    <row r="61" spans="1:4">
      <c r="A61" t="s">
        <v>244</v>
      </c>
      <c r="B61">
        <v>9</v>
      </c>
    </row>
    <row r="62" spans="1:4">
      <c r="A62" t="s">
        <v>244</v>
      </c>
      <c r="B62">
        <v>10</v>
      </c>
    </row>
    <row r="63" spans="1:4">
      <c r="A63" t="s">
        <v>276</v>
      </c>
      <c r="B63">
        <v>1</v>
      </c>
      <c r="C63" s="16" t="s">
        <v>293</v>
      </c>
      <c r="D63">
        <v>1</v>
      </c>
    </row>
    <row r="64" spans="1:4">
      <c r="A64" t="s">
        <v>276</v>
      </c>
      <c r="B64">
        <v>2</v>
      </c>
    </row>
    <row r="65" spans="1:4">
      <c r="A65" t="s">
        <v>276</v>
      </c>
      <c r="B65">
        <v>3</v>
      </c>
    </row>
    <row r="66" spans="1:4">
      <c r="A66" t="s">
        <v>302</v>
      </c>
      <c r="B66">
        <v>1</v>
      </c>
      <c r="C66" s="16" t="s">
        <v>318</v>
      </c>
      <c r="D66">
        <v>1</v>
      </c>
    </row>
    <row r="67" spans="1:4">
      <c r="A67" t="s">
        <v>302</v>
      </c>
      <c r="B67">
        <v>2</v>
      </c>
    </row>
    <row r="68" spans="1:4">
      <c r="A68" t="s">
        <v>302</v>
      </c>
      <c r="B68">
        <v>3</v>
      </c>
    </row>
    <row r="69" spans="1:4">
      <c r="A69" t="s">
        <v>302</v>
      </c>
      <c r="B69">
        <v>4</v>
      </c>
    </row>
    <row r="70" spans="1:4">
      <c r="A70" t="s">
        <v>302</v>
      </c>
      <c r="B70">
        <v>5</v>
      </c>
    </row>
    <row r="71" spans="1:4">
      <c r="A71" t="s">
        <v>302</v>
      </c>
      <c r="B71">
        <v>6</v>
      </c>
    </row>
    <row r="72" spans="1:4">
      <c r="A72" t="s">
        <v>302</v>
      </c>
      <c r="B72">
        <v>7</v>
      </c>
    </row>
    <row r="73" spans="1:4">
      <c r="A73" t="s">
        <v>302</v>
      </c>
      <c r="B73">
        <v>8</v>
      </c>
    </row>
    <row r="74" spans="1:4">
      <c r="A74" t="s">
        <v>302</v>
      </c>
      <c r="B74">
        <v>9</v>
      </c>
    </row>
    <row r="75" spans="1:4">
      <c r="A75" t="s">
        <v>302</v>
      </c>
      <c r="B75">
        <v>10</v>
      </c>
    </row>
    <row r="76" spans="1:4">
      <c r="A76" t="s">
        <v>327</v>
      </c>
      <c r="B76">
        <v>1</v>
      </c>
      <c r="C76" s="16" t="s">
        <v>344</v>
      </c>
      <c r="D76">
        <v>1</v>
      </c>
    </row>
    <row r="77" spans="1:4">
      <c r="A77" t="s">
        <v>327</v>
      </c>
      <c r="B77">
        <v>2</v>
      </c>
    </row>
    <row r="78" spans="1:4">
      <c r="A78" t="s">
        <v>327</v>
      </c>
      <c r="B78">
        <v>3</v>
      </c>
    </row>
    <row r="79" spans="1:4">
      <c r="A79" t="s">
        <v>327</v>
      </c>
      <c r="B79">
        <v>4</v>
      </c>
    </row>
    <row r="80" spans="1:4">
      <c r="A80" t="s">
        <v>327</v>
      </c>
      <c r="B80">
        <v>5</v>
      </c>
    </row>
    <row r="81" spans="1:4">
      <c r="A81" t="s">
        <v>327</v>
      </c>
      <c r="B81">
        <v>6</v>
      </c>
    </row>
    <row r="82" spans="1:4">
      <c r="A82" t="s">
        <v>327</v>
      </c>
      <c r="B82">
        <v>7</v>
      </c>
    </row>
    <row r="83" spans="1:4">
      <c r="A83" t="s">
        <v>327</v>
      </c>
      <c r="B83">
        <v>8</v>
      </c>
    </row>
    <row r="84" spans="1:4">
      <c r="A84" t="s">
        <v>327</v>
      </c>
      <c r="B84">
        <v>9</v>
      </c>
    </row>
    <row r="85" spans="1:4">
      <c r="A85" t="s">
        <v>327</v>
      </c>
      <c r="B85">
        <v>10</v>
      </c>
    </row>
    <row r="86" spans="1:4">
      <c r="A86" t="s">
        <v>353</v>
      </c>
      <c r="B86">
        <v>1</v>
      </c>
      <c r="C86" s="16" t="s">
        <v>373</v>
      </c>
      <c r="D86" s="16" t="s">
        <v>374</v>
      </c>
    </row>
    <row r="87" spans="1:4">
      <c r="A87" t="s">
        <v>353</v>
      </c>
      <c r="B87">
        <v>2</v>
      </c>
    </row>
    <row r="88" spans="1:4">
      <c r="A88" t="s">
        <v>387</v>
      </c>
      <c r="B88">
        <v>1</v>
      </c>
      <c r="C88" s="16" t="s">
        <v>405</v>
      </c>
      <c r="D88">
        <v>1</v>
      </c>
    </row>
    <row r="89" spans="1:4">
      <c r="A89" t="s">
        <v>387</v>
      </c>
      <c r="B89">
        <v>2</v>
      </c>
    </row>
    <row r="90" spans="1:4">
      <c r="A90" t="s">
        <v>387</v>
      </c>
      <c r="B90">
        <v>3</v>
      </c>
    </row>
    <row r="91" spans="1:4">
      <c r="A91" t="s">
        <v>387</v>
      </c>
      <c r="B91">
        <v>4</v>
      </c>
    </row>
    <row r="92" spans="1:4">
      <c r="A92" t="s">
        <v>387</v>
      </c>
      <c r="B92">
        <v>5</v>
      </c>
    </row>
    <row r="93" spans="1:4">
      <c r="A93" t="s">
        <v>387</v>
      </c>
      <c r="B93">
        <v>6</v>
      </c>
    </row>
    <row r="94" spans="1:4">
      <c r="A94" t="s">
        <v>387</v>
      </c>
      <c r="B94">
        <v>7</v>
      </c>
    </row>
    <row r="95" spans="1:4">
      <c r="A95" t="s">
        <v>387</v>
      </c>
      <c r="B95">
        <v>8</v>
      </c>
    </row>
    <row r="96" spans="1:4">
      <c r="A96" t="s">
        <v>387</v>
      </c>
      <c r="B96">
        <v>9</v>
      </c>
    </row>
    <row r="97" spans="1:4">
      <c r="A97" t="s">
        <v>387</v>
      </c>
      <c r="B97">
        <v>10</v>
      </c>
    </row>
    <row r="98" spans="1:4">
      <c r="A98" t="s">
        <v>414</v>
      </c>
      <c r="B98">
        <v>1</v>
      </c>
      <c r="C98" s="16" t="s">
        <v>431</v>
      </c>
      <c r="D98">
        <v>1</v>
      </c>
    </row>
    <row r="99" spans="1:4">
      <c r="A99" t="s">
        <v>414</v>
      </c>
      <c r="B99">
        <v>2</v>
      </c>
    </row>
    <row r="100" spans="1:4">
      <c r="A100" t="s">
        <v>440</v>
      </c>
      <c r="B100">
        <v>1</v>
      </c>
      <c r="C100" s="16" t="s">
        <v>457</v>
      </c>
      <c r="D100">
        <v>1</v>
      </c>
    </row>
    <row r="101" spans="1:4">
      <c r="A101" t="s">
        <v>440</v>
      </c>
      <c r="B101">
        <v>2</v>
      </c>
    </row>
    <row r="102" spans="1:4">
      <c r="A102" t="s">
        <v>440</v>
      </c>
      <c r="B102">
        <v>3</v>
      </c>
    </row>
    <row r="103" spans="1:4">
      <c r="A103" t="s">
        <v>466</v>
      </c>
      <c r="B103">
        <v>1</v>
      </c>
      <c r="C103" s="16" t="s">
        <v>486</v>
      </c>
      <c r="D103" s="16" t="s">
        <v>487</v>
      </c>
    </row>
    <row r="104" spans="1:4">
      <c r="A104" t="s">
        <v>466</v>
      </c>
      <c r="B104">
        <v>2</v>
      </c>
    </row>
    <row r="105" spans="1:4">
      <c r="A105" t="s">
        <v>466</v>
      </c>
      <c r="B105">
        <v>3</v>
      </c>
    </row>
    <row r="106" spans="1:4">
      <c r="A106" t="s">
        <v>466</v>
      </c>
      <c r="B106">
        <v>4</v>
      </c>
    </row>
    <row r="107" spans="1:4">
      <c r="A107" t="s">
        <v>466</v>
      </c>
      <c r="B107">
        <v>5</v>
      </c>
    </row>
    <row r="108" spans="1:4">
      <c r="A108" t="s">
        <v>466</v>
      </c>
      <c r="B108">
        <v>6</v>
      </c>
    </row>
    <row r="109" spans="1:4">
      <c r="A109" t="s">
        <v>466</v>
      </c>
      <c r="B109">
        <v>7</v>
      </c>
    </row>
    <row r="110" spans="1:4">
      <c r="A110" t="s">
        <v>466</v>
      </c>
      <c r="B110">
        <v>8</v>
      </c>
    </row>
    <row r="111" spans="1:4">
      <c r="A111" t="s">
        <v>466</v>
      </c>
      <c r="B111">
        <v>9</v>
      </c>
    </row>
    <row r="112" spans="1:4">
      <c r="A112" t="s">
        <v>466</v>
      </c>
      <c r="B112">
        <v>10</v>
      </c>
    </row>
    <row r="113" spans="1:4">
      <c r="A113" t="s">
        <v>500</v>
      </c>
      <c r="B113">
        <v>1</v>
      </c>
      <c r="C113" s="16" t="s">
        <v>516</v>
      </c>
      <c r="D113">
        <v>1</v>
      </c>
    </row>
    <row r="114" spans="1:4">
      <c r="A114" t="s">
        <v>500</v>
      </c>
      <c r="B114">
        <v>2</v>
      </c>
    </row>
    <row r="115" spans="1:4">
      <c r="A115" t="s">
        <v>500</v>
      </c>
      <c r="B115">
        <v>3</v>
      </c>
    </row>
    <row r="116" spans="1:4">
      <c r="A116" t="s">
        <v>500</v>
      </c>
      <c r="B116">
        <v>4</v>
      </c>
    </row>
    <row r="117" spans="1:4">
      <c r="A117" t="s">
        <v>500</v>
      </c>
      <c r="B117">
        <v>5</v>
      </c>
    </row>
    <row r="118" spans="1:4">
      <c r="A118" t="s">
        <v>500</v>
      </c>
      <c r="B118">
        <v>6</v>
      </c>
    </row>
    <row r="119" spans="1:4">
      <c r="A119" t="s">
        <v>500</v>
      </c>
      <c r="B119">
        <v>7</v>
      </c>
    </row>
    <row r="120" spans="1:4">
      <c r="A120" t="s">
        <v>500</v>
      </c>
      <c r="B120">
        <v>8</v>
      </c>
    </row>
    <row r="121" spans="1:4">
      <c r="A121" t="s">
        <v>525</v>
      </c>
      <c r="B121">
        <v>1</v>
      </c>
      <c r="C121" s="16" t="s">
        <v>540</v>
      </c>
      <c r="D121">
        <v>1</v>
      </c>
    </row>
    <row r="122" spans="1:4">
      <c r="A122" t="s">
        <v>525</v>
      </c>
      <c r="B122">
        <v>2</v>
      </c>
    </row>
    <row r="123" spans="1:4">
      <c r="A123" t="s">
        <v>525</v>
      </c>
      <c r="B123">
        <v>3</v>
      </c>
    </row>
    <row r="124" spans="1:4">
      <c r="A124" t="s">
        <v>549</v>
      </c>
      <c r="B124">
        <v>1</v>
      </c>
      <c r="C124" s="16" t="s">
        <v>568</v>
      </c>
      <c r="D124" s="16" t="s">
        <v>569</v>
      </c>
    </row>
    <row r="125" spans="1:4">
      <c r="A125" t="s">
        <v>549</v>
      </c>
      <c r="B125">
        <v>2</v>
      </c>
    </row>
    <row r="126" spans="1:4">
      <c r="A126" t="s">
        <v>549</v>
      </c>
      <c r="B126">
        <v>3</v>
      </c>
    </row>
    <row r="127" spans="1:4">
      <c r="A127" t="s">
        <v>549</v>
      </c>
      <c r="B127">
        <v>4</v>
      </c>
    </row>
    <row r="128" spans="1:4">
      <c r="A128" t="s">
        <v>549</v>
      </c>
      <c r="B128">
        <v>5</v>
      </c>
    </row>
    <row r="129" spans="1:4">
      <c r="A129" t="s">
        <v>549</v>
      </c>
      <c r="B129">
        <v>6</v>
      </c>
    </row>
    <row r="130" spans="1:4">
      <c r="A130" t="s">
        <v>549</v>
      </c>
      <c r="B130">
        <v>7</v>
      </c>
    </row>
    <row r="131" spans="1:4">
      <c r="A131" t="s">
        <v>549</v>
      </c>
      <c r="B131">
        <v>8</v>
      </c>
    </row>
    <row r="132" spans="1:4">
      <c r="A132" t="s">
        <v>549</v>
      </c>
      <c r="B132">
        <v>9</v>
      </c>
    </row>
    <row r="133" spans="1:4">
      <c r="A133" t="s">
        <v>549</v>
      </c>
      <c r="B133">
        <v>10</v>
      </c>
    </row>
    <row r="134" spans="1:4">
      <c r="A134" t="s">
        <v>578</v>
      </c>
      <c r="B134">
        <v>1</v>
      </c>
      <c r="C134" s="16" t="s">
        <v>595</v>
      </c>
      <c r="D134" s="16" t="s">
        <v>596</v>
      </c>
    </row>
    <row r="135" spans="1:4">
      <c r="A135" t="s">
        <v>578</v>
      </c>
      <c r="B135">
        <v>2</v>
      </c>
    </row>
    <row r="136" spans="1:4">
      <c r="A136" t="s">
        <v>578</v>
      </c>
      <c r="B136">
        <v>3</v>
      </c>
    </row>
    <row r="137" spans="1:4">
      <c r="A137" t="s">
        <v>578</v>
      </c>
      <c r="B137">
        <v>4</v>
      </c>
    </row>
    <row r="138" spans="1:4">
      <c r="A138" t="s">
        <v>578</v>
      </c>
      <c r="B138">
        <v>5</v>
      </c>
    </row>
    <row r="139" spans="1:4">
      <c r="A139" t="s">
        <v>605</v>
      </c>
      <c r="B139">
        <v>1</v>
      </c>
      <c r="C139" s="16" t="s">
        <v>621</v>
      </c>
      <c r="D139">
        <v>1</v>
      </c>
    </row>
    <row r="140" spans="1:4">
      <c r="A140" t="s">
        <v>605</v>
      </c>
      <c r="B140">
        <v>2</v>
      </c>
    </row>
    <row r="141" spans="1:4">
      <c r="A141" t="s">
        <v>605</v>
      </c>
      <c r="B141">
        <v>3</v>
      </c>
    </row>
    <row r="142" spans="1:4">
      <c r="A142" t="s">
        <v>605</v>
      </c>
      <c r="B142">
        <v>4</v>
      </c>
    </row>
    <row r="143" spans="1:4">
      <c r="A143" t="s">
        <v>605</v>
      </c>
      <c r="B143">
        <v>5</v>
      </c>
    </row>
    <row r="144" spans="1:4">
      <c r="A144" t="s">
        <v>631</v>
      </c>
      <c r="B144">
        <v>1</v>
      </c>
      <c r="C144" s="16" t="s">
        <v>647</v>
      </c>
      <c r="D144">
        <v>1</v>
      </c>
    </row>
    <row r="145" spans="1:4">
      <c r="A145" t="s">
        <v>631</v>
      </c>
      <c r="B145">
        <v>2</v>
      </c>
    </row>
    <row r="146" spans="1:4">
      <c r="A146" t="s">
        <v>631</v>
      </c>
      <c r="B146">
        <v>3</v>
      </c>
    </row>
    <row r="147" spans="1:4">
      <c r="A147" t="s">
        <v>631</v>
      </c>
      <c r="B147">
        <v>4</v>
      </c>
    </row>
    <row r="148" spans="1:4">
      <c r="A148" t="s">
        <v>656</v>
      </c>
      <c r="B148">
        <v>1</v>
      </c>
      <c r="C148" s="16" t="s">
        <v>673</v>
      </c>
      <c r="D148">
        <v>-6.95538067974374</v>
      </c>
    </row>
    <row r="149" spans="1:4">
      <c r="A149" t="s">
        <v>682</v>
      </c>
      <c r="B149">
        <v>1</v>
      </c>
      <c r="C149" s="16" t="s">
        <v>701</v>
      </c>
      <c r="D149" s="16" t="s">
        <v>702</v>
      </c>
    </row>
    <row r="150" spans="1:4">
      <c r="A150" t="s">
        <v>682</v>
      </c>
      <c r="B150">
        <v>2</v>
      </c>
    </row>
    <row r="151" spans="1:4">
      <c r="A151" t="s">
        <v>682</v>
      </c>
      <c r="B151">
        <v>3</v>
      </c>
    </row>
    <row r="152" spans="1:4">
      <c r="A152" t="s">
        <v>682</v>
      </c>
      <c r="B152">
        <v>4</v>
      </c>
    </row>
    <row r="153" spans="1:4">
      <c r="A153" t="s">
        <v>682</v>
      </c>
      <c r="B153">
        <v>5</v>
      </c>
    </row>
    <row r="154" spans="1:4">
      <c r="A154" t="s">
        <v>682</v>
      </c>
      <c r="B154">
        <v>6</v>
      </c>
    </row>
    <row r="155" spans="1:4">
      <c r="A155" t="s">
        <v>682</v>
      </c>
      <c r="B155">
        <v>7</v>
      </c>
    </row>
    <row r="156" spans="1:4">
      <c r="A156" t="s">
        <v>682</v>
      </c>
      <c r="B156">
        <v>8</v>
      </c>
    </row>
    <row r="157" spans="1:4">
      <c r="A157" t="s">
        <v>715</v>
      </c>
      <c r="B157">
        <v>1</v>
      </c>
      <c r="C157" s="16" t="s">
        <v>728</v>
      </c>
      <c r="D157">
        <v>1</v>
      </c>
    </row>
    <row r="158" spans="1:4">
      <c r="A158" t="s">
        <v>715</v>
      </c>
      <c r="B158">
        <v>2</v>
      </c>
    </row>
    <row r="159" spans="1:4">
      <c r="A159" t="s">
        <v>715</v>
      </c>
      <c r="B159">
        <v>3</v>
      </c>
    </row>
    <row r="160" spans="1:4">
      <c r="A160" t="s">
        <v>715</v>
      </c>
      <c r="B160">
        <v>4</v>
      </c>
    </row>
    <row r="161" spans="1:4">
      <c r="A161" t="s">
        <v>737</v>
      </c>
      <c r="B161">
        <v>1</v>
      </c>
      <c r="C161" s="16" t="s">
        <v>756</v>
      </c>
      <c r="D161" s="16" t="s">
        <v>757</v>
      </c>
    </row>
    <row r="162" spans="1:4">
      <c r="A162" t="s">
        <v>737</v>
      </c>
      <c r="B162">
        <v>2</v>
      </c>
    </row>
    <row r="163" spans="1:4">
      <c r="A163" t="s">
        <v>737</v>
      </c>
      <c r="B163">
        <v>3</v>
      </c>
    </row>
    <row r="164" spans="1:4">
      <c r="A164" t="s">
        <v>771</v>
      </c>
      <c r="B164">
        <v>1</v>
      </c>
      <c r="C164" s="16" t="s">
        <v>786</v>
      </c>
      <c r="D164">
        <v>1</v>
      </c>
    </row>
    <row r="165" spans="1:4">
      <c r="A165" t="s">
        <v>771</v>
      </c>
      <c r="B165">
        <v>2</v>
      </c>
    </row>
    <row r="166" spans="1:4">
      <c r="A166" t="s">
        <v>771</v>
      </c>
      <c r="B166">
        <v>3</v>
      </c>
    </row>
    <row r="167" spans="1:4">
      <c r="A167" t="s">
        <v>771</v>
      </c>
      <c r="B167">
        <v>4</v>
      </c>
    </row>
    <row r="168" spans="1:4">
      <c r="A168" t="s">
        <v>771</v>
      </c>
      <c r="B168">
        <v>5</v>
      </c>
    </row>
    <row r="169" spans="1:4">
      <c r="A169" t="s">
        <v>771</v>
      </c>
      <c r="B169">
        <v>6</v>
      </c>
    </row>
    <row r="170" spans="1:4">
      <c r="A170" t="s">
        <v>771</v>
      </c>
      <c r="B170">
        <v>7</v>
      </c>
    </row>
    <row r="171" spans="1:4">
      <c r="A171" t="s">
        <v>771</v>
      </c>
      <c r="B171">
        <v>8</v>
      </c>
    </row>
    <row r="172" spans="1:4">
      <c r="A172" t="s">
        <v>771</v>
      </c>
      <c r="B172">
        <v>9</v>
      </c>
    </row>
    <row r="173" spans="1:4">
      <c r="A173" t="s">
        <v>795</v>
      </c>
      <c r="B173">
        <v>1</v>
      </c>
      <c r="C173" s="16" t="s">
        <v>813</v>
      </c>
      <c r="D173" s="16" t="s">
        <v>814</v>
      </c>
    </row>
    <row r="174" spans="1:4">
      <c r="A174" t="s">
        <v>795</v>
      </c>
      <c r="B174">
        <v>2</v>
      </c>
    </row>
    <row r="175" spans="1:4">
      <c r="A175" t="s">
        <v>795</v>
      </c>
      <c r="B175">
        <v>3</v>
      </c>
    </row>
    <row r="176" spans="1:4">
      <c r="A176" t="s">
        <v>795</v>
      </c>
      <c r="B176">
        <v>4</v>
      </c>
    </row>
    <row r="177" spans="1:4">
      <c r="A177" t="s">
        <v>795</v>
      </c>
      <c r="B177">
        <v>5</v>
      </c>
    </row>
    <row r="178" spans="1:4">
      <c r="A178" t="s">
        <v>795</v>
      </c>
      <c r="B178">
        <v>6</v>
      </c>
    </row>
    <row r="179" spans="1:4">
      <c r="A179" t="s">
        <v>827</v>
      </c>
      <c r="B179">
        <v>1</v>
      </c>
      <c r="C179" s="16" t="s">
        <v>841</v>
      </c>
      <c r="D179" s="16" t="s">
        <v>842</v>
      </c>
    </row>
    <row r="180" spans="1:4">
      <c r="A180" t="s">
        <v>827</v>
      </c>
      <c r="B180">
        <v>2</v>
      </c>
    </row>
    <row r="181" spans="1:4">
      <c r="A181" t="s">
        <v>827</v>
      </c>
      <c r="B181">
        <v>3</v>
      </c>
    </row>
    <row r="182" spans="1:4">
      <c r="A182" t="s">
        <v>827</v>
      </c>
      <c r="B182">
        <v>4</v>
      </c>
    </row>
    <row r="183" spans="1:4">
      <c r="A183" t="s">
        <v>827</v>
      </c>
      <c r="B183">
        <v>5</v>
      </c>
    </row>
    <row r="184" spans="1:4">
      <c r="A184" t="s">
        <v>827</v>
      </c>
      <c r="B184">
        <v>6</v>
      </c>
    </row>
    <row r="185" spans="1:4">
      <c r="A185" t="s">
        <v>827</v>
      </c>
      <c r="B185">
        <v>7</v>
      </c>
    </row>
    <row r="186" spans="1:4">
      <c r="A186" t="s">
        <v>827</v>
      </c>
      <c r="B186">
        <v>8</v>
      </c>
    </row>
    <row r="187" spans="1:4">
      <c r="A187" t="s">
        <v>827</v>
      </c>
      <c r="B187">
        <v>9</v>
      </c>
    </row>
    <row r="188" spans="1:4">
      <c r="A188" t="s">
        <v>827</v>
      </c>
      <c r="B188">
        <v>10</v>
      </c>
    </row>
    <row r="189" spans="1:4">
      <c r="A189" t="s">
        <v>855</v>
      </c>
      <c r="B189">
        <v>1</v>
      </c>
      <c r="C189" s="16" t="s">
        <v>871</v>
      </c>
      <c r="D189">
        <v>1</v>
      </c>
    </row>
    <row r="190" spans="1:4">
      <c r="A190" t="s">
        <v>855</v>
      </c>
      <c r="B190">
        <v>2</v>
      </c>
    </row>
    <row r="191" spans="1:4">
      <c r="A191" t="s">
        <v>855</v>
      </c>
      <c r="B191">
        <v>3</v>
      </c>
    </row>
    <row r="192" spans="1:4">
      <c r="A192" t="s">
        <v>855</v>
      </c>
      <c r="B192">
        <v>4</v>
      </c>
    </row>
    <row r="193" spans="1:4">
      <c r="A193" t="s">
        <v>855</v>
      </c>
      <c r="B193">
        <v>5</v>
      </c>
    </row>
    <row r="194" spans="1:4">
      <c r="A194" t="s">
        <v>855</v>
      </c>
      <c r="B194">
        <v>6</v>
      </c>
    </row>
    <row r="195" spans="1:4">
      <c r="A195" t="s">
        <v>855</v>
      </c>
      <c r="B195">
        <v>7</v>
      </c>
    </row>
    <row r="196" spans="1:4">
      <c r="A196" t="s">
        <v>855</v>
      </c>
      <c r="B196">
        <v>8</v>
      </c>
    </row>
    <row r="197" spans="1:4">
      <c r="A197" t="s">
        <v>855</v>
      </c>
      <c r="B197">
        <v>9</v>
      </c>
    </row>
    <row r="198" spans="1:4">
      <c r="A198" t="s">
        <v>855</v>
      </c>
      <c r="B198">
        <v>10</v>
      </c>
    </row>
    <row r="199" spans="1:4">
      <c r="A199" t="s">
        <v>880</v>
      </c>
      <c r="B199">
        <v>1</v>
      </c>
      <c r="C199" s="16" t="s">
        <v>896</v>
      </c>
      <c r="D199">
        <v>1</v>
      </c>
    </row>
    <row r="200" spans="1:4">
      <c r="A200" t="s">
        <v>880</v>
      </c>
      <c r="B200">
        <v>2</v>
      </c>
    </row>
    <row r="201" spans="1:4">
      <c r="A201" t="s">
        <v>880</v>
      </c>
      <c r="B201">
        <v>3</v>
      </c>
    </row>
    <row r="202" spans="1:4">
      <c r="A202" t="s">
        <v>880</v>
      </c>
      <c r="B202">
        <v>4</v>
      </c>
    </row>
    <row r="203" spans="1:4">
      <c r="A203" t="s">
        <v>880</v>
      </c>
      <c r="B203">
        <v>5</v>
      </c>
    </row>
    <row r="204" spans="1:4">
      <c r="A204" t="s">
        <v>880</v>
      </c>
      <c r="B204">
        <v>6</v>
      </c>
    </row>
    <row r="205" spans="1:4">
      <c r="A205" t="s">
        <v>905</v>
      </c>
      <c r="B205">
        <v>1</v>
      </c>
      <c r="C205" s="16" t="s">
        <v>921</v>
      </c>
      <c r="D205">
        <v>1</v>
      </c>
    </row>
    <row r="206" spans="1:4">
      <c r="A206" t="s">
        <v>905</v>
      </c>
      <c r="B206">
        <v>2</v>
      </c>
    </row>
    <row r="207" spans="1:4">
      <c r="A207" t="s">
        <v>905</v>
      </c>
      <c r="B207">
        <v>3</v>
      </c>
    </row>
    <row r="208" spans="1:4">
      <c r="A208" t="s">
        <v>930</v>
      </c>
      <c r="B208">
        <v>1</v>
      </c>
      <c r="C208" s="16" t="s">
        <v>947</v>
      </c>
      <c r="D208" s="16" t="s">
        <v>948</v>
      </c>
    </row>
    <row r="209" spans="1:4">
      <c r="A209" t="s">
        <v>930</v>
      </c>
      <c r="B209">
        <v>2</v>
      </c>
    </row>
    <row r="210" spans="1:4">
      <c r="A210" t="s">
        <v>930</v>
      </c>
      <c r="B210">
        <v>3</v>
      </c>
    </row>
    <row r="211" spans="1:4">
      <c r="A211" t="s">
        <v>930</v>
      </c>
      <c r="B211">
        <v>4</v>
      </c>
    </row>
    <row r="212" spans="1:4">
      <c r="A212" t="s">
        <v>930</v>
      </c>
      <c r="B212">
        <v>5</v>
      </c>
    </row>
    <row r="213" spans="1:4">
      <c r="A213" t="s">
        <v>930</v>
      </c>
      <c r="B213">
        <v>6</v>
      </c>
    </row>
    <row r="214" spans="1:4">
      <c r="A214" t="s">
        <v>930</v>
      </c>
      <c r="B214">
        <v>7</v>
      </c>
    </row>
    <row r="215" spans="1:4">
      <c r="A215" t="s">
        <v>930</v>
      </c>
      <c r="B215">
        <v>8</v>
      </c>
    </row>
    <row r="216" spans="1:4">
      <c r="A216" t="s">
        <v>930</v>
      </c>
      <c r="B216">
        <v>9</v>
      </c>
    </row>
    <row r="217" spans="1:4">
      <c r="A217" t="s">
        <v>930</v>
      </c>
      <c r="B217">
        <v>10</v>
      </c>
    </row>
    <row r="218" spans="1:4">
      <c r="A218" t="s">
        <v>957</v>
      </c>
      <c r="B218">
        <v>1</v>
      </c>
      <c r="C218" s="16" t="s">
        <v>972</v>
      </c>
      <c r="D218" s="16" t="s">
        <v>973</v>
      </c>
    </row>
    <row r="219" spans="1:4">
      <c r="A219" t="s">
        <v>957</v>
      </c>
      <c r="B219">
        <v>2</v>
      </c>
    </row>
    <row r="220" spans="1:4">
      <c r="A220" t="s">
        <v>957</v>
      </c>
      <c r="B220">
        <v>3</v>
      </c>
    </row>
    <row r="221" spans="1:4">
      <c r="A221" t="s">
        <v>986</v>
      </c>
      <c r="B221">
        <v>1</v>
      </c>
      <c r="C221" s="16" t="s">
        <v>1005</v>
      </c>
      <c r="D221" s="16" t="s">
        <v>1006</v>
      </c>
    </row>
    <row r="222" spans="1:4">
      <c r="A222" t="s">
        <v>986</v>
      </c>
      <c r="B222">
        <v>2</v>
      </c>
    </row>
    <row r="223" spans="1:4">
      <c r="A223" t="s">
        <v>986</v>
      </c>
      <c r="B223">
        <v>3</v>
      </c>
    </row>
    <row r="224" spans="1:4">
      <c r="A224" t="s">
        <v>986</v>
      </c>
      <c r="B224">
        <v>4</v>
      </c>
    </row>
    <row r="225" spans="1:4">
      <c r="A225" t="s">
        <v>986</v>
      </c>
      <c r="B225">
        <v>5</v>
      </c>
    </row>
    <row r="226" spans="1:4">
      <c r="A226" t="s">
        <v>986</v>
      </c>
      <c r="B226">
        <v>6</v>
      </c>
    </row>
    <row r="227" spans="1:4">
      <c r="A227" t="s">
        <v>986</v>
      </c>
      <c r="B227">
        <v>7</v>
      </c>
    </row>
    <row r="228" spans="1:4">
      <c r="A228" t="s">
        <v>1015</v>
      </c>
      <c r="B228">
        <v>1</v>
      </c>
      <c r="C228" s="16" t="s">
        <v>1033</v>
      </c>
      <c r="D228" s="16" t="s">
        <v>1034</v>
      </c>
    </row>
    <row r="229" spans="1:4">
      <c r="A229" t="s">
        <v>1015</v>
      </c>
      <c r="B229">
        <v>2</v>
      </c>
    </row>
    <row r="230" spans="1:4">
      <c r="A230" t="s">
        <v>1015</v>
      </c>
      <c r="B230">
        <v>3</v>
      </c>
    </row>
    <row r="231" spans="1:4">
      <c r="A231" t="s">
        <v>1015</v>
      </c>
      <c r="B231">
        <v>4</v>
      </c>
    </row>
    <row r="232" spans="1:4">
      <c r="A232" t="s">
        <v>1015</v>
      </c>
      <c r="B232">
        <v>5</v>
      </c>
    </row>
    <row r="233" spans="1:4">
      <c r="A233" t="s">
        <v>1015</v>
      </c>
      <c r="B233">
        <v>6</v>
      </c>
    </row>
    <row r="234" spans="1:4">
      <c r="A234" t="s">
        <v>1015</v>
      </c>
      <c r="B234">
        <v>7</v>
      </c>
    </row>
    <row r="235" spans="1:4">
      <c r="A235" t="s">
        <v>1015</v>
      </c>
      <c r="B235">
        <v>8</v>
      </c>
    </row>
    <row r="236" spans="1:4">
      <c r="A236" t="s">
        <v>1047</v>
      </c>
      <c r="B236">
        <v>1</v>
      </c>
      <c r="C236" s="16" t="s">
        <v>1063</v>
      </c>
      <c r="D236">
        <v>1</v>
      </c>
    </row>
    <row r="237" spans="1:4">
      <c r="A237" t="s">
        <v>1047</v>
      </c>
      <c r="B237">
        <v>2</v>
      </c>
    </row>
    <row r="238" spans="1:4">
      <c r="A238" t="s">
        <v>1047</v>
      </c>
      <c r="B238">
        <v>3</v>
      </c>
    </row>
    <row r="239" spans="1:4">
      <c r="A239" t="s">
        <v>1072</v>
      </c>
      <c r="B239">
        <v>1</v>
      </c>
      <c r="C239" s="16" t="s">
        <v>1085</v>
      </c>
      <c r="D239">
        <v>1</v>
      </c>
    </row>
    <row r="240" spans="1:4">
      <c r="A240" t="s">
        <v>1072</v>
      </c>
      <c r="B240">
        <v>2</v>
      </c>
    </row>
    <row r="241" spans="1:4">
      <c r="A241" t="s">
        <v>1094</v>
      </c>
      <c r="B241">
        <v>1</v>
      </c>
      <c r="C241" s="16" t="s">
        <v>1111</v>
      </c>
      <c r="D241">
        <v>1</v>
      </c>
    </row>
    <row r="242" spans="1:4">
      <c r="A242" t="s">
        <v>1094</v>
      </c>
      <c r="B242">
        <v>2</v>
      </c>
    </row>
    <row r="243" spans="1:4">
      <c r="A243" t="s">
        <v>1094</v>
      </c>
      <c r="B243">
        <v>3</v>
      </c>
    </row>
    <row r="244" spans="1:4">
      <c r="A244" t="s">
        <v>1094</v>
      </c>
      <c r="B244">
        <v>4</v>
      </c>
    </row>
    <row r="245" spans="1:4">
      <c r="A245" t="s">
        <v>1094</v>
      </c>
      <c r="B245">
        <v>5</v>
      </c>
    </row>
    <row r="246" spans="1:4">
      <c r="A246" t="s">
        <v>1094</v>
      </c>
      <c r="B246">
        <v>6</v>
      </c>
    </row>
    <row r="247" spans="1:4">
      <c r="A247" t="s">
        <v>1094</v>
      </c>
      <c r="B247">
        <v>7</v>
      </c>
    </row>
    <row r="248" spans="1:4">
      <c r="A248" t="s">
        <v>1094</v>
      </c>
      <c r="B248">
        <v>8</v>
      </c>
    </row>
    <row r="249" spans="1:4">
      <c r="A249" t="s">
        <v>1094</v>
      </c>
      <c r="B249">
        <v>9</v>
      </c>
    </row>
    <row r="250" spans="1:4">
      <c r="A250" t="s">
        <v>1094</v>
      </c>
      <c r="B250">
        <v>10</v>
      </c>
    </row>
    <row r="251" spans="1:4">
      <c r="A251" t="s">
        <v>1121</v>
      </c>
      <c r="B251">
        <v>1</v>
      </c>
      <c r="C251" s="16" t="s">
        <v>1138</v>
      </c>
      <c r="D251">
        <v>1</v>
      </c>
    </row>
    <row r="252" spans="1:4">
      <c r="A252" t="s">
        <v>1121</v>
      </c>
      <c r="B252">
        <v>2</v>
      </c>
    </row>
    <row r="253" spans="1:4">
      <c r="A253" t="s">
        <v>1121</v>
      </c>
      <c r="B253">
        <v>3</v>
      </c>
    </row>
    <row r="254" spans="1:4">
      <c r="A254" t="s">
        <v>1121</v>
      </c>
      <c r="B254">
        <v>4</v>
      </c>
    </row>
    <row r="255" spans="1:4">
      <c r="A255" t="s">
        <v>1121</v>
      </c>
      <c r="B255">
        <v>5</v>
      </c>
    </row>
    <row r="256" spans="1:4">
      <c r="A256" t="s">
        <v>1147</v>
      </c>
      <c r="B256">
        <v>1</v>
      </c>
      <c r="C256" s="16" t="s">
        <v>1161</v>
      </c>
      <c r="D256">
        <v>1</v>
      </c>
    </row>
    <row r="257" spans="1:4">
      <c r="A257" t="s">
        <v>1147</v>
      </c>
      <c r="B257">
        <v>2</v>
      </c>
    </row>
    <row r="258" spans="1:4">
      <c r="A258" t="s">
        <v>1147</v>
      </c>
      <c r="B258">
        <v>3</v>
      </c>
    </row>
    <row r="259" spans="1:4">
      <c r="A259" t="s">
        <v>1170</v>
      </c>
      <c r="B259">
        <v>1</v>
      </c>
      <c r="C259" s="16" t="s">
        <v>1187</v>
      </c>
      <c r="D259" s="16" t="s">
        <v>1188</v>
      </c>
    </row>
    <row r="260" spans="1:4">
      <c r="A260" t="s">
        <v>1170</v>
      </c>
      <c r="B260">
        <v>2</v>
      </c>
    </row>
    <row r="261" spans="1:4">
      <c r="A261" t="s">
        <v>1170</v>
      </c>
      <c r="B261">
        <v>3</v>
      </c>
    </row>
    <row r="262" spans="1:4">
      <c r="A262" t="s">
        <v>1170</v>
      </c>
      <c r="B262">
        <v>4</v>
      </c>
    </row>
    <row r="263" spans="1:4">
      <c r="A263" t="s">
        <v>1170</v>
      </c>
      <c r="B263">
        <v>5</v>
      </c>
    </row>
    <row r="264" spans="1:4">
      <c r="A264" t="s">
        <v>1201</v>
      </c>
      <c r="B264">
        <v>1</v>
      </c>
      <c r="C264" s="16" t="s">
        <v>1217</v>
      </c>
      <c r="D264">
        <v>1</v>
      </c>
    </row>
    <row r="265" spans="1:4">
      <c r="A265" t="s">
        <v>1201</v>
      </c>
      <c r="B265">
        <v>2</v>
      </c>
    </row>
    <row r="266" spans="1:4">
      <c r="A266" t="s">
        <v>1201</v>
      </c>
      <c r="B266">
        <v>3</v>
      </c>
    </row>
    <row r="267" spans="1:4">
      <c r="A267" t="s">
        <v>1201</v>
      </c>
      <c r="B267">
        <v>4</v>
      </c>
    </row>
    <row r="268" spans="1:4">
      <c r="A268" t="s">
        <v>1226</v>
      </c>
      <c r="B268">
        <v>1</v>
      </c>
      <c r="C268" s="16" t="s">
        <v>1240</v>
      </c>
      <c r="D268">
        <v>1</v>
      </c>
    </row>
    <row r="269" spans="1:4">
      <c r="A269" t="s">
        <v>1226</v>
      </c>
      <c r="B269">
        <v>2</v>
      </c>
    </row>
    <row r="270" spans="1:4">
      <c r="A270" t="s">
        <v>1249</v>
      </c>
      <c r="B270">
        <v>1</v>
      </c>
      <c r="C270" s="16" t="s">
        <v>1261</v>
      </c>
      <c r="D270">
        <v>-0.773271573897478</v>
      </c>
    </row>
    <row r="271" spans="1:4">
      <c r="A271" t="s">
        <v>1249</v>
      </c>
      <c r="B271">
        <v>2</v>
      </c>
    </row>
    <row r="272" spans="1:4">
      <c r="A272" t="s">
        <v>1274</v>
      </c>
      <c r="B272">
        <v>1</v>
      </c>
      <c r="C272" s="16" t="s">
        <v>1289</v>
      </c>
      <c r="D272">
        <v>1</v>
      </c>
    </row>
    <row r="273" spans="1:4">
      <c r="A273" t="s">
        <v>1274</v>
      </c>
      <c r="B273">
        <v>2</v>
      </c>
    </row>
    <row r="274" spans="1:4">
      <c r="A274" t="s">
        <v>1274</v>
      </c>
      <c r="B274">
        <v>3</v>
      </c>
    </row>
    <row r="275" spans="1:4">
      <c r="A275" t="s">
        <v>1274</v>
      </c>
      <c r="B275">
        <v>4</v>
      </c>
    </row>
    <row r="276" spans="1:4">
      <c r="A276" t="s">
        <v>1298</v>
      </c>
      <c r="B276">
        <v>1</v>
      </c>
      <c r="C276" s="16" t="s">
        <v>1312</v>
      </c>
      <c r="D276">
        <v>1</v>
      </c>
    </row>
    <row r="277" spans="1:4">
      <c r="A277" t="s">
        <v>1298</v>
      </c>
      <c r="B277">
        <v>2</v>
      </c>
    </row>
    <row r="278" spans="1:4">
      <c r="A278" t="s">
        <v>1298</v>
      </c>
      <c r="B278">
        <v>3</v>
      </c>
    </row>
    <row r="279" spans="1:4">
      <c r="A279" t="s">
        <v>1298</v>
      </c>
      <c r="B279">
        <v>4</v>
      </c>
    </row>
    <row r="280" spans="1:4">
      <c r="A280" t="s">
        <v>1298</v>
      </c>
      <c r="B280">
        <v>5</v>
      </c>
    </row>
    <row r="281" spans="1:4">
      <c r="A281" t="s">
        <v>1298</v>
      </c>
      <c r="B281">
        <v>6</v>
      </c>
    </row>
    <row r="282" spans="1:4">
      <c r="A282" t="s">
        <v>1298</v>
      </c>
      <c r="B282">
        <v>7</v>
      </c>
    </row>
    <row r="283" spans="1:4">
      <c r="A283" t="s">
        <v>1298</v>
      </c>
      <c r="B283">
        <v>8</v>
      </c>
    </row>
    <row r="284" spans="1:4">
      <c r="A284" t="s">
        <v>1298</v>
      </c>
      <c r="B284">
        <v>9</v>
      </c>
    </row>
    <row r="285" spans="1:4">
      <c r="A285" t="s">
        <v>1298</v>
      </c>
      <c r="B285">
        <v>10</v>
      </c>
    </row>
    <row r="286" spans="1:4">
      <c r="A286" t="s">
        <v>1321</v>
      </c>
      <c r="B286">
        <v>1</v>
      </c>
      <c r="C286" s="16" t="s">
        <v>1337</v>
      </c>
      <c r="D286">
        <v>1</v>
      </c>
    </row>
    <row r="287" spans="1:4">
      <c r="A287" t="s">
        <v>1321</v>
      </c>
      <c r="B287">
        <v>2</v>
      </c>
    </row>
    <row r="288" spans="1:4">
      <c r="A288" t="s">
        <v>1321</v>
      </c>
      <c r="B288">
        <v>3</v>
      </c>
    </row>
    <row r="289" spans="1:4">
      <c r="A289" t="s">
        <v>1321</v>
      </c>
      <c r="B289">
        <v>4</v>
      </c>
    </row>
    <row r="290" spans="1:4">
      <c r="A290" t="s">
        <v>1321</v>
      </c>
      <c r="B290">
        <v>5</v>
      </c>
    </row>
    <row r="291" spans="1:4">
      <c r="A291" t="s">
        <v>1321</v>
      </c>
      <c r="B291">
        <v>6</v>
      </c>
    </row>
    <row r="292" spans="1:4">
      <c r="A292" t="s">
        <v>1346</v>
      </c>
      <c r="B292">
        <v>1</v>
      </c>
      <c r="C292" s="16" t="s">
        <v>1364</v>
      </c>
      <c r="D292" s="16" t="s">
        <v>1365</v>
      </c>
    </row>
    <row r="293" spans="1:4">
      <c r="A293" t="s">
        <v>1346</v>
      </c>
      <c r="B293">
        <v>2</v>
      </c>
    </row>
    <row r="294" spans="1:4">
      <c r="A294" t="s">
        <v>1346</v>
      </c>
      <c r="B294">
        <v>3</v>
      </c>
    </row>
    <row r="295" spans="1:4">
      <c r="A295" t="s">
        <v>1372</v>
      </c>
      <c r="B295">
        <v>1</v>
      </c>
      <c r="C295" s="16" t="s">
        <v>1390</v>
      </c>
      <c r="D295" s="16" t="s">
        <v>1391</v>
      </c>
    </row>
    <row r="296" spans="1:4">
      <c r="A296" t="s">
        <v>1372</v>
      </c>
      <c r="B296">
        <v>2</v>
      </c>
    </row>
    <row r="297" spans="1:4">
      <c r="A297" t="s">
        <v>1404</v>
      </c>
      <c r="B297">
        <v>1</v>
      </c>
      <c r="C297" s="16" t="s">
        <v>1422</v>
      </c>
      <c r="D297" s="16" t="s">
        <v>1423</v>
      </c>
    </row>
    <row r="298" spans="1:4">
      <c r="A298" t="s">
        <v>1404</v>
      </c>
      <c r="B298">
        <v>2</v>
      </c>
    </row>
    <row r="299" spans="1:4">
      <c r="A299" t="s">
        <v>1404</v>
      </c>
      <c r="B299">
        <v>3</v>
      </c>
    </row>
    <row r="300" spans="1:4">
      <c r="A300" t="s">
        <v>1404</v>
      </c>
      <c r="B300">
        <v>4</v>
      </c>
    </row>
    <row r="301" spans="1:4">
      <c r="A301" t="s">
        <v>1404</v>
      </c>
      <c r="B301">
        <v>5</v>
      </c>
    </row>
    <row r="302" spans="1:4">
      <c r="A302" t="s">
        <v>1404</v>
      </c>
      <c r="B302">
        <v>6</v>
      </c>
    </row>
    <row r="303" spans="1:4">
      <c r="A303" t="s">
        <v>1404</v>
      </c>
      <c r="B303">
        <v>7</v>
      </c>
    </row>
    <row r="304" spans="1:4">
      <c r="A304" t="s">
        <v>1404</v>
      </c>
      <c r="B304">
        <v>8</v>
      </c>
    </row>
    <row r="305" spans="1:4">
      <c r="A305" t="s">
        <v>1404</v>
      </c>
      <c r="B305">
        <v>9</v>
      </c>
    </row>
    <row r="306" spans="1:4">
      <c r="A306" t="s">
        <v>1404</v>
      </c>
      <c r="B306">
        <v>10</v>
      </c>
    </row>
    <row r="307" spans="1:4">
      <c r="A307" t="s">
        <v>1436</v>
      </c>
      <c r="B307">
        <v>1</v>
      </c>
      <c r="C307" s="16" t="s">
        <v>1456</v>
      </c>
      <c r="D307" s="16" t="s">
        <v>1457</v>
      </c>
    </row>
    <row r="308" spans="1:4">
      <c r="A308" t="s">
        <v>1436</v>
      </c>
      <c r="B308">
        <v>2</v>
      </c>
    </row>
    <row r="309" spans="1:4">
      <c r="A309" t="s">
        <v>1436</v>
      </c>
      <c r="B309">
        <v>3</v>
      </c>
    </row>
    <row r="310" spans="1:4">
      <c r="A310" t="s">
        <v>1436</v>
      </c>
      <c r="B310">
        <v>4</v>
      </c>
    </row>
    <row r="311" spans="1:4">
      <c r="A311" t="s">
        <v>1436</v>
      </c>
      <c r="B311">
        <v>5</v>
      </c>
    </row>
    <row r="312" spans="1:4">
      <c r="A312" t="s">
        <v>1436</v>
      </c>
      <c r="B312">
        <v>6</v>
      </c>
    </row>
    <row r="313" spans="1:4">
      <c r="A313" t="s">
        <v>1436</v>
      </c>
      <c r="B313">
        <v>7</v>
      </c>
    </row>
    <row r="314" spans="1:4">
      <c r="A314" t="s">
        <v>1436</v>
      </c>
      <c r="B314">
        <v>8</v>
      </c>
    </row>
    <row r="315" spans="1:4">
      <c r="A315" t="s">
        <v>1436</v>
      </c>
      <c r="B315">
        <v>9</v>
      </c>
    </row>
    <row r="316" spans="1:4">
      <c r="A316" t="s">
        <v>1436</v>
      </c>
      <c r="B316">
        <v>10</v>
      </c>
    </row>
    <row r="317" spans="1:4">
      <c r="A317" t="s">
        <v>1470</v>
      </c>
      <c r="B317">
        <v>1</v>
      </c>
      <c r="C317" s="16" t="s">
        <v>1489</v>
      </c>
      <c r="D317" s="16" t="s">
        <v>1490</v>
      </c>
    </row>
    <row r="318" spans="1:4">
      <c r="A318" t="s">
        <v>1470</v>
      </c>
      <c r="B318">
        <v>2</v>
      </c>
    </row>
    <row r="319" spans="1:4">
      <c r="A319" t="s">
        <v>1470</v>
      </c>
      <c r="B319">
        <v>3</v>
      </c>
    </row>
    <row r="320" spans="1:4">
      <c r="A320" t="s">
        <v>1470</v>
      </c>
      <c r="B320">
        <v>4</v>
      </c>
    </row>
    <row r="321" spans="1:2">
      <c r="A321" t="s">
        <v>1470</v>
      </c>
      <c r="B321">
        <v>5</v>
      </c>
    </row>
    <row r="322" spans="1:2">
      <c r="A322" t="s">
        <v>1470</v>
      </c>
      <c r="B322">
        <v>6</v>
      </c>
    </row>
    <row r="323" spans="1:2">
      <c r="A323" t="s">
        <v>1470</v>
      </c>
      <c r="B323">
        <v>7</v>
      </c>
    </row>
    <row r="324" spans="1:2">
      <c r="A324" t="s">
        <v>1470</v>
      </c>
      <c r="B324">
        <v>8</v>
      </c>
    </row>
    <row r="325" spans="1:2">
      <c r="A325" t="s">
        <v>1470</v>
      </c>
      <c r="B325">
        <v>9</v>
      </c>
    </row>
    <row r="326" spans="1:2">
      <c r="A326" t="s">
        <v>1470</v>
      </c>
      <c r="B326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6"/>
  <sheetViews>
    <sheetView topLeftCell="A289" workbookViewId="0">
      <selection activeCell="A1" sqref="A1:D326"/>
    </sheetView>
  </sheetViews>
  <sheetFormatPr defaultColWidth="9" defaultRowHeight="13.5" outlineLevelCol="3"/>
  <cols>
    <col min="4" max="4" width="13.75"/>
  </cols>
  <sheetData>
    <row r="1" spans="1:4">
      <c r="A1" t="s">
        <v>0</v>
      </c>
      <c r="B1" t="s">
        <v>1</v>
      </c>
      <c r="C1" t="s">
        <v>23</v>
      </c>
      <c r="D1" t="s">
        <v>24</v>
      </c>
    </row>
    <row r="2" spans="1:4">
      <c r="A2" t="s">
        <v>42</v>
      </c>
      <c r="B2">
        <v>1</v>
      </c>
      <c r="C2" s="16" t="s">
        <v>62</v>
      </c>
      <c r="D2" s="16" t="s">
        <v>63</v>
      </c>
    </row>
    <row r="3" spans="1:4">
      <c r="A3" t="s">
        <v>42</v>
      </c>
      <c r="B3">
        <v>2</v>
      </c>
    </row>
    <row r="4" spans="1:4">
      <c r="A4" t="s">
        <v>42</v>
      </c>
      <c r="B4">
        <v>3</v>
      </c>
    </row>
    <row r="5" spans="1:4">
      <c r="A5" t="s">
        <v>42</v>
      </c>
      <c r="B5">
        <v>4</v>
      </c>
    </row>
    <row r="6" spans="1:4">
      <c r="A6" t="s">
        <v>42</v>
      </c>
      <c r="B6">
        <v>5</v>
      </c>
    </row>
    <row r="7" spans="1:4">
      <c r="A7" t="s">
        <v>42</v>
      </c>
      <c r="B7">
        <v>6</v>
      </c>
    </row>
    <row r="8" spans="1:4">
      <c r="A8" t="s">
        <v>42</v>
      </c>
      <c r="B8">
        <v>7</v>
      </c>
    </row>
    <row r="9" spans="1:4">
      <c r="A9" t="s">
        <v>42</v>
      </c>
      <c r="B9">
        <v>8</v>
      </c>
    </row>
    <row r="10" spans="1:4">
      <c r="A10" t="s">
        <v>42</v>
      </c>
      <c r="B10">
        <v>9</v>
      </c>
    </row>
    <row r="11" spans="1:4">
      <c r="A11" t="s">
        <v>42</v>
      </c>
      <c r="B11">
        <v>10</v>
      </c>
    </row>
    <row r="12" spans="1:4">
      <c r="A12" t="s">
        <v>79</v>
      </c>
      <c r="B12">
        <v>1</v>
      </c>
      <c r="C12" s="16" t="s">
        <v>96</v>
      </c>
      <c r="D12">
        <v>1</v>
      </c>
    </row>
    <row r="13" spans="1:4">
      <c r="A13" t="s">
        <v>79</v>
      </c>
      <c r="B13">
        <v>2</v>
      </c>
    </row>
    <row r="14" spans="1:4">
      <c r="A14" t="s">
        <v>79</v>
      </c>
      <c r="B14">
        <v>3</v>
      </c>
    </row>
    <row r="15" spans="1:4">
      <c r="A15" t="s">
        <v>79</v>
      </c>
      <c r="B15">
        <v>4</v>
      </c>
    </row>
    <row r="16" spans="1:4">
      <c r="A16" t="s">
        <v>107</v>
      </c>
      <c r="B16">
        <v>1</v>
      </c>
      <c r="C16" s="16" t="s">
        <v>123</v>
      </c>
      <c r="D16">
        <v>1</v>
      </c>
    </row>
    <row r="17" spans="1:4">
      <c r="A17" t="s">
        <v>107</v>
      </c>
      <c r="B17">
        <v>2</v>
      </c>
    </row>
    <row r="18" spans="1:4">
      <c r="A18" t="s">
        <v>107</v>
      </c>
      <c r="B18">
        <v>3</v>
      </c>
    </row>
    <row r="19" spans="1:4">
      <c r="A19" t="s">
        <v>107</v>
      </c>
      <c r="B19">
        <v>4</v>
      </c>
    </row>
    <row r="20" spans="1:4">
      <c r="A20" t="s">
        <v>107</v>
      </c>
      <c r="B20">
        <v>5</v>
      </c>
    </row>
    <row r="21" spans="1:4">
      <c r="A21" t="s">
        <v>107</v>
      </c>
      <c r="B21">
        <v>6</v>
      </c>
    </row>
    <row r="22" spans="1:4">
      <c r="A22" t="s">
        <v>107</v>
      </c>
      <c r="B22">
        <v>7</v>
      </c>
    </row>
    <row r="23" spans="1:4">
      <c r="A23" t="s">
        <v>107</v>
      </c>
      <c r="B23">
        <v>8</v>
      </c>
    </row>
    <row r="24" spans="1:4">
      <c r="A24" t="s">
        <v>107</v>
      </c>
      <c r="B24">
        <v>9</v>
      </c>
    </row>
    <row r="25" spans="1:4">
      <c r="A25" t="s">
        <v>107</v>
      </c>
      <c r="B25">
        <v>10</v>
      </c>
    </row>
    <row r="26" spans="1:4">
      <c r="A26" t="s">
        <v>133</v>
      </c>
      <c r="B26">
        <v>1</v>
      </c>
      <c r="C26" s="16" t="s">
        <v>150</v>
      </c>
      <c r="D26">
        <v>1</v>
      </c>
    </row>
    <row r="27" spans="1:4">
      <c r="A27" t="s">
        <v>133</v>
      </c>
      <c r="B27">
        <v>2</v>
      </c>
    </row>
    <row r="28" spans="1:4">
      <c r="A28" t="s">
        <v>133</v>
      </c>
      <c r="B28">
        <v>3</v>
      </c>
    </row>
    <row r="29" spans="1:4">
      <c r="A29" t="s">
        <v>133</v>
      </c>
      <c r="B29">
        <v>4</v>
      </c>
    </row>
    <row r="30" spans="1:4">
      <c r="A30" t="s">
        <v>133</v>
      </c>
      <c r="B30">
        <v>5</v>
      </c>
    </row>
    <row r="31" spans="1:4">
      <c r="A31" t="s">
        <v>133</v>
      </c>
      <c r="B31">
        <v>6</v>
      </c>
    </row>
    <row r="32" spans="1:4">
      <c r="A32" t="s">
        <v>133</v>
      </c>
      <c r="B32">
        <v>7</v>
      </c>
    </row>
    <row r="33" spans="1:4">
      <c r="A33" t="s">
        <v>160</v>
      </c>
      <c r="B33">
        <v>1</v>
      </c>
      <c r="C33" s="16" t="s">
        <v>176</v>
      </c>
      <c r="D33" s="16" t="s">
        <v>177</v>
      </c>
    </row>
    <row r="34" spans="1:4">
      <c r="A34" t="s">
        <v>160</v>
      </c>
      <c r="B34">
        <v>2</v>
      </c>
    </row>
    <row r="35" spans="1:4">
      <c r="A35" t="s">
        <v>192</v>
      </c>
      <c r="B35">
        <v>1</v>
      </c>
      <c r="C35" s="16" t="s">
        <v>210</v>
      </c>
      <c r="D35">
        <v>1</v>
      </c>
    </row>
    <row r="36" spans="1:4">
      <c r="A36" t="s">
        <v>192</v>
      </c>
      <c r="B36">
        <v>2</v>
      </c>
    </row>
    <row r="37" spans="1:4">
      <c r="A37" t="s">
        <v>192</v>
      </c>
      <c r="B37">
        <v>3</v>
      </c>
    </row>
    <row r="38" spans="1:4">
      <c r="A38" t="s">
        <v>192</v>
      </c>
      <c r="B38">
        <v>4</v>
      </c>
    </row>
    <row r="39" spans="1:4">
      <c r="A39" t="s">
        <v>192</v>
      </c>
      <c r="B39">
        <v>5</v>
      </c>
    </row>
    <row r="40" spans="1:4">
      <c r="A40" t="s">
        <v>192</v>
      </c>
      <c r="B40">
        <v>6</v>
      </c>
    </row>
    <row r="41" spans="1:4">
      <c r="A41" t="s">
        <v>192</v>
      </c>
      <c r="B41">
        <v>7</v>
      </c>
    </row>
    <row r="42" spans="1:4">
      <c r="A42" t="s">
        <v>192</v>
      </c>
      <c r="B42">
        <v>8</v>
      </c>
    </row>
    <row r="43" spans="1:4">
      <c r="A43" t="s">
        <v>192</v>
      </c>
      <c r="B43">
        <v>9</v>
      </c>
    </row>
    <row r="44" spans="1:4">
      <c r="A44" t="s">
        <v>192</v>
      </c>
      <c r="B44">
        <v>10</v>
      </c>
    </row>
    <row r="45" spans="1:4">
      <c r="A45" t="s">
        <v>220</v>
      </c>
      <c r="B45">
        <v>1</v>
      </c>
      <c r="C45" s="16" t="s">
        <v>233</v>
      </c>
      <c r="D45">
        <v>1</v>
      </c>
    </row>
    <row r="46" spans="1:4">
      <c r="A46" t="s">
        <v>220</v>
      </c>
      <c r="B46">
        <v>2</v>
      </c>
    </row>
    <row r="47" spans="1:4">
      <c r="A47" t="s">
        <v>220</v>
      </c>
      <c r="B47">
        <v>3</v>
      </c>
    </row>
    <row r="48" spans="1:4">
      <c r="A48" t="s">
        <v>220</v>
      </c>
      <c r="B48">
        <v>4</v>
      </c>
    </row>
    <row r="49" spans="1:4">
      <c r="A49" t="s">
        <v>220</v>
      </c>
      <c r="B49">
        <v>5</v>
      </c>
    </row>
    <row r="50" spans="1:4">
      <c r="A50" t="s">
        <v>220</v>
      </c>
      <c r="B50">
        <v>6</v>
      </c>
    </row>
    <row r="51" spans="1:4">
      <c r="A51" t="s">
        <v>220</v>
      </c>
      <c r="B51">
        <v>7</v>
      </c>
    </row>
    <row r="52" spans="1:4">
      <c r="A52" t="s">
        <v>220</v>
      </c>
      <c r="B52">
        <v>8</v>
      </c>
    </row>
    <row r="53" spans="1:4">
      <c r="A53" t="s">
        <v>244</v>
      </c>
      <c r="B53">
        <v>1</v>
      </c>
      <c r="C53" s="16" t="s">
        <v>260</v>
      </c>
      <c r="D53" s="16" t="s">
        <v>261</v>
      </c>
    </row>
    <row r="54" spans="1:4">
      <c r="A54" t="s">
        <v>244</v>
      </c>
      <c r="B54">
        <v>2</v>
      </c>
    </row>
    <row r="55" spans="1:4">
      <c r="A55" t="s">
        <v>244</v>
      </c>
      <c r="B55">
        <v>3</v>
      </c>
    </row>
    <row r="56" spans="1:4">
      <c r="A56" t="s">
        <v>244</v>
      </c>
      <c r="B56">
        <v>4</v>
      </c>
    </row>
    <row r="57" spans="1:4">
      <c r="A57" t="s">
        <v>244</v>
      </c>
      <c r="B57">
        <v>5</v>
      </c>
    </row>
    <row r="58" spans="1:4">
      <c r="A58" t="s">
        <v>244</v>
      </c>
      <c r="B58">
        <v>6</v>
      </c>
    </row>
    <row r="59" spans="1:4">
      <c r="A59" t="s">
        <v>244</v>
      </c>
      <c r="B59">
        <v>7</v>
      </c>
    </row>
    <row r="60" spans="1:4">
      <c r="A60" t="s">
        <v>244</v>
      </c>
      <c r="B60">
        <v>8</v>
      </c>
    </row>
    <row r="61" spans="1:4">
      <c r="A61" t="s">
        <v>244</v>
      </c>
      <c r="B61">
        <v>9</v>
      </c>
    </row>
    <row r="62" spans="1:4">
      <c r="A62" t="s">
        <v>244</v>
      </c>
      <c r="B62">
        <v>10</v>
      </c>
    </row>
    <row r="63" spans="1:4">
      <c r="A63" t="s">
        <v>276</v>
      </c>
      <c r="B63">
        <v>1</v>
      </c>
      <c r="C63" s="16" t="s">
        <v>292</v>
      </c>
      <c r="D63">
        <v>1</v>
      </c>
    </row>
    <row r="64" spans="1:4">
      <c r="A64" t="s">
        <v>276</v>
      </c>
      <c r="B64">
        <v>2</v>
      </c>
    </row>
    <row r="65" spans="1:4">
      <c r="A65" t="s">
        <v>276</v>
      </c>
      <c r="B65">
        <v>3</v>
      </c>
    </row>
    <row r="66" spans="1:4">
      <c r="A66" t="s">
        <v>302</v>
      </c>
      <c r="B66">
        <v>1</v>
      </c>
      <c r="C66" s="16" t="s">
        <v>317</v>
      </c>
      <c r="D66">
        <v>1</v>
      </c>
    </row>
    <row r="67" spans="1:4">
      <c r="A67" t="s">
        <v>302</v>
      </c>
      <c r="B67">
        <v>2</v>
      </c>
    </row>
    <row r="68" spans="1:4">
      <c r="A68" t="s">
        <v>302</v>
      </c>
      <c r="B68">
        <v>3</v>
      </c>
    </row>
    <row r="69" spans="1:4">
      <c r="A69" t="s">
        <v>302</v>
      </c>
      <c r="B69">
        <v>4</v>
      </c>
    </row>
    <row r="70" spans="1:4">
      <c r="A70" t="s">
        <v>302</v>
      </c>
      <c r="B70">
        <v>5</v>
      </c>
    </row>
    <row r="71" spans="1:4">
      <c r="A71" t="s">
        <v>302</v>
      </c>
      <c r="B71">
        <v>6</v>
      </c>
    </row>
    <row r="72" spans="1:4">
      <c r="A72" t="s">
        <v>302</v>
      </c>
      <c r="B72">
        <v>7</v>
      </c>
    </row>
    <row r="73" spans="1:4">
      <c r="A73" t="s">
        <v>302</v>
      </c>
      <c r="B73">
        <v>8</v>
      </c>
    </row>
    <row r="74" spans="1:4">
      <c r="A74" t="s">
        <v>302</v>
      </c>
      <c r="B74">
        <v>9</v>
      </c>
    </row>
    <row r="75" spans="1:4">
      <c r="A75" t="s">
        <v>302</v>
      </c>
      <c r="B75">
        <v>10</v>
      </c>
    </row>
    <row r="76" spans="1:4">
      <c r="A76" t="s">
        <v>327</v>
      </c>
      <c r="B76">
        <v>1</v>
      </c>
      <c r="C76" s="16" t="s">
        <v>343</v>
      </c>
      <c r="D76">
        <v>1</v>
      </c>
    </row>
    <row r="77" spans="1:4">
      <c r="A77" t="s">
        <v>327</v>
      </c>
      <c r="B77">
        <v>2</v>
      </c>
    </row>
    <row r="78" spans="1:4">
      <c r="A78" t="s">
        <v>327</v>
      </c>
      <c r="B78">
        <v>3</v>
      </c>
    </row>
    <row r="79" spans="1:4">
      <c r="A79" t="s">
        <v>327</v>
      </c>
      <c r="B79">
        <v>4</v>
      </c>
    </row>
    <row r="80" spans="1:4">
      <c r="A80" t="s">
        <v>327</v>
      </c>
      <c r="B80">
        <v>5</v>
      </c>
    </row>
    <row r="81" spans="1:4">
      <c r="A81" t="s">
        <v>327</v>
      </c>
      <c r="B81">
        <v>6</v>
      </c>
    </row>
    <row r="82" spans="1:4">
      <c r="A82" t="s">
        <v>327</v>
      </c>
      <c r="B82">
        <v>7</v>
      </c>
    </row>
    <row r="83" spans="1:4">
      <c r="A83" t="s">
        <v>327</v>
      </c>
      <c r="B83">
        <v>8</v>
      </c>
    </row>
    <row r="84" spans="1:4">
      <c r="A84" t="s">
        <v>327</v>
      </c>
      <c r="B84">
        <v>9</v>
      </c>
    </row>
    <row r="85" spans="1:4">
      <c r="A85" t="s">
        <v>327</v>
      </c>
      <c r="B85">
        <v>10</v>
      </c>
    </row>
    <row r="86" spans="1:4">
      <c r="A86" t="s">
        <v>353</v>
      </c>
      <c r="B86">
        <v>1</v>
      </c>
      <c r="C86" s="16" t="s">
        <v>371</v>
      </c>
      <c r="D86" s="16" t="s">
        <v>372</v>
      </c>
    </row>
    <row r="87" spans="1:4">
      <c r="A87" t="s">
        <v>353</v>
      </c>
      <c r="B87">
        <v>2</v>
      </c>
    </row>
    <row r="88" spans="1:4">
      <c r="A88" t="s">
        <v>387</v>
      </c>
      <c r="B88">
        <v>1</v>
      </c>
      <c r="C88" s="16" t="s">
        <v>404</v>
      </c>
      <c r="D88">
        <v>1</v>
      </c>
    </row>
    <row r="89" spans="1:4">
      <c r="A89" t="s">
        <v>387</v>
      </c>
      <c r="B89">
        <v>2</v>
      </c>
    </row>
    <row r="90" spans="1:4">
      <c r="A90" t="s">
        <v>387</v>
      </c>
      <c r="B90">
        <v>3</v>
      </c>
    </row>
    <row r="91" spans="1:4">
      <c r="A91" t="s">
        <v>387</v>
      </c>
      <c r="B91">
        <v>4</v>
      </c>
    </row>
    <row r="92" spans="1:4">
      <c r="A92" t="s">
        <v>387</v>
      </c>
      <c r="B92">
        <v>5</v>
      </c>
    </row>
    <row r="93" spans="1:4">
      <c r="A93" t="s">
        <v>387</v>
      </c>
      <c r="B93">
        <v>6</v>
      </c>
    </row>
    <row r="94" spans="1:4">
      <c r="A94" t="s">
        <v>387</v>
      </c>
      <c r="B94">
        <v>7</v>
      </c>
    </row>
    <row r="95" spans="1:4">
      <c r="A95" t="s">
        <v>387</v>
      </c>
      <c r="B95">
        <v>8</v>
      </c>
    </row>
    <row r="96" spans="1:4">
      <c r="A96" t="s">
        <v>387</v>
      </c>
      <c r="B96">
        <v>9</v>
      </c>
    </row>
    <row r="97" spans="1:4">
      <c r="A97" t="s">
        <v>387</v>
      </c>
      <c r="B97">
        <v>10</v>
      </c>
    </row>
    <row r="98" spans="1:4">
      <c r="A98" t="s">
        <v>414</v>
      </c>
      <c r="B98">
        <v>1</v>
      </c>
      <c r="C98" s="16" t="s">
        <v>430</v>
      </c>
      <c r="D98">
        <v>1</v>
      </c>
    </row>
    <row r="99" spans="1:4">
      <c r="A99" t="s">
        <v>414</v>
      </c>
      <c r="B99">
        <v>2</v>
      </c>
    </row>
    <row r="100" spans="1:4">
      <c r="A100" t="s">
        <v>440</v>
      </c>
      <c r="B100">
        <v>1</v>
      </c>
      <c r="C100" s="16" t="s">
        <v>456</v>
      </c>
      <c r="D100">
        <v>1</v>
      </c>
    </row>
    <row r="101" spans="1:4">
      <c r="A101" t="s">
        <v>440</v>
      </c>
      <c r="B101">
        <v>2</v>
      </c>
    </row>
    <row r="102" spans="1:4">
      <c r="A102" t="s">
        <v>440</v>
      </c>
      <c r="B102">
        <v>3</v>
      </c>
    </row>
    <row r="103" spans="1:4">
      <c r="A103" t="s">
        <v>466</v>
      </c>
      <c r="B103">
        <v>1</v>
      </c>
      <c r="C103" s="16" t="s">
        <v>484</v>
      </c>
      <c r="D103" s="16" t="s">
        <v>485</v>
      </c>
    </row>
    <row r="104" spans="1:4">
      <c r="A104" t="s">
        <v>466</v>
      </c>
      <c r="B104">
        <v>2</v>
      </c>
    </row>
    <row r="105" spans="1:4">
      <c r="A105" t="s">
        <v>466</v>
      </c>
      <c r="B105">
        <v>3</v>
      </c>
    </row>
    <row r="106" spans="1:4">
      <c r="A106" t="s">
        <v>466</v>
      </c>
      <c r="B106">
        <v>4</v>
      </c>
    </row>
    <row r="107" spans="1:4">
      <c r="A107" t="s">
        <v>466</v>
      </c>
      <c r="B107">
        <v>5</v>
      </c>
    </row>
    <row r="108" spans="1:4">
      <c r="A108" t="s">
        <v>466</v>
      </c>
      <c r="B108">
        <v>6</v>
      </c>
    </row>
    <row r="109" spans="1:4">
      <c r="A109" t="s">
        <v>466</v>
      </c>
      <c r="B109">
        <v>7</v>
      </c>
    </row>
    <row r="110" spans="1:4">
      <c r="A110" t="s">
        <v>466</v>
      </c>
      <c r="B110">
        <v>8</v>
      </c>
    </row>
    <row r="111" spans="1:4">
      <c r="A111" t="s">
        <v>466</v>
      </c>
      <c r="B111">
        <v>9</v>
      </c>
    </row>
    <row r="112" spans="1:4">
      <c r="A112" t="s">
        <v>466</v>
      </c>
      <c r="B112">
        <v>10</v>
      </c>
    </row>
    <row r="113" spans="1:4">
      <c r="A113" t="s">
        <v>500</v>
      </c>
      <c r="B113">
        <v>1</v>
      </c>
      <c r="C113" s="16" t="s">
        <v>515</v>
      </c>
      <c r="D113">
        <v>1</v>
      </c>
    </row>
    <row r="114" spans="1:4">
      <c r="A114" t="s">
        <v>500</v>
      </c>
      <c r="B114">
        <v>2</v>
      </c>
    </row>
    <row r="115" spans="1:4">
      <c r="A115" t="s">
        <v>500</v>
      </c>
      <c r="B115">
        <v>3</v>
      </c>
    </row>
    <row r="116" spans="1:4">
      <c r="A116" t="s">
        <v>500</v>
      </c>
      <c r="B116">
        <v>4</v>
      </c>
    </row>
    <row r="117" spans="1:4">
      <c r="A117" t="s">
        <v>500</v>
      </c>
      <c r="B117">
        <v>5</v>
      </c>
    </row>
    <row r="118" spans="1:4">
      <c r="A118" t="s">
        <v>500</v>
      </c>
      <c r="B118">
        <v>6</v>
      </c>
    </row>
    <row r="119" spans="1:4">
      <c r="A119" t="s">
        <v>500</v>
      </c>
      <c r="B119">
        <v>7</v>
      </c>
    </row>
    <row r="120" spans="1:4">
      <c r="A120" t="s">
        <v>500</v>
      </c>
      <c r="B120">
        <v>8</v>
      </c>
    </row>
    <row r="121" spans="1:4">
      <c r="A121" t="s">
        <v>525</v>
      </c>
      <c r="B121">
        <v>1</v>
      </c>
      <c r="C121" s="16" t="s">
        <v>539</v>
      </c>
      <c r="D121">
        <v>1</v>
      </c>
    </row>
    <row r="122" spans="1:4">
      <c r="A122" t="s">
        <v>525</v>
      </c>
      <c r="B122">
        <v>2</v>
      </c>
    </row>
    <row r="123" spans="1:4">
      <c r="A123" t="s">
        <v>525</v>
      </c>
      <c r="B123">
        <v>3</v>
      </c>
    </row>
    <row r="124" spans="1:4">
      <c r="A124" t="s">
        <v>549</v>
      </c>
      <c r="B124">
        <v>1</v>
      </c>
      <c r="C124" s="16" t="s">
        <v>566</v>
      </c>
      <c r="D124" s="16" t="s">
        <v>567</v>
      </c>
    </row>
    <row r="125" spans="1:4">
      <c r="A125" t="s">
        <v>549</v>
      </c>
      <c r="B125">
        <v>2</v>
      </c>
    </row>
    <row r="126" spans="1:4">
      <c r="A126" t="s">
        <v>549</v>
      </c>
      <c r="B126">
        <v>3</v>
      </c>
    </row>
    <row r="127" spans="1:4">
      <c r="A127" t="s">
        <v>549</v>
      </c>
      <c r="B127">
        <v>4</v>
      </c>
    </row>
    <row r="128" spans="1:4">
      <c r="A128" t="s">
        <v>549</v>
      </c>
      <c r="B128">
        <v>5</v>
      </c>
    </row>
    <row r="129" spans="1:4">
      <c r="A129" t="s">
        <v>549</v>
      </c>
      <c r="B129">
        <v>6</v>
      </c>
    </row>
    <row r="130" spans="1:4">
      <c r="A130" t="s">
        <v>549</v>
      </c>
      <c r="B130">
        <v>7</v>
      </c>
    </row>
    <row r="131" spans="1:4">
      <c r="A131" t="s">
        <v>549</v>
      </c>
      <c r="B131">
        <v>8</v>
      </c>
    </row>
    <row r="132" spans="1:4">
      <c r="A132" t="s">
        <v>549</v>
      </c>
      <c r="B132">
        <v>9</v>
      </c>
    </row>
    <row r="133" spans="1:4">
      <c r="A133" t="s">
        <v>549</v>
      </c>
      <c r="B133">
        <v>10</v>
      </c>
    </row>
    <row r="134" spans="1:4">
      <c r="A134" t="s">
        <v>578</v>
      </c>
      <c r="B134">
        <v>1</v>
      </c>
      <c r="C134" s="16" t="s">
        <v>593</v>
      </c>
      <c r="D134" s="16" t="s">
        <v>594</v>
      </c>
    </row>
    <row r="135" spans="1:4">
      <c r="A135" t="s">
        <v>578</v>
      </c>
      <c r="B135">
        <v>2</v>
      </c>
    </row>
    <row r="136" spans="1:4">
      <c r="A136" t="s">
        <v>578</v>
      </c>
      <c r="B136">
        <v>3</v>
      </c>
    </row>
    <row r="137" spans="1:4">
      <c r="A137" t="s">
        <v>578</v>
      </c>
      <c r="B137">
        <v>4</v>
      </c>
    </row>
    <row r="138" spans="1:4">
      <c r="A138" t="s">
        <v>578</v>
      </c>
      <c r="B138">
        <v>5</v>
      </c>
    </row>
    <row r="139" spans="1:4">
      <c r="A139" t="s">
        <v>605</v>
      </c>
      <c r="B139">
        <v>1</v>
      </c>
      <c r="C139" s="16" t="s">
        <v>620</v>
      </c>
      <c r="D139">
        <v>1</v>
      </c>
    </row>
    <row r="140" spans="1:4">
      <c r="A140" t="s">
        <v>605</v>
      </c>
      <c r="B140">
        <v>2</v>
      </c>
    </row>
    <row r="141" spans="1:4">
      <c r="A141" t="s">
        <v>605</v>
      </c>
      <c r="B141">
        <v>3</v>
      </c>
    </row>
    <row r="142" spans="1:4">
      <c r="A142" t="s">
        <v>605</v>
      </c>
      <c r="B142">
        <v>4</v>
      </c>
    </row>
    <row r="143" spans="1:4">
      <c r="A143" t="s">
        <v>605</v>
      </c>
      <c r="B143">
        <v>5</v>
      </c>
    </row>
    <row r="144" spans="1:4">
      <c r="A144" t="s">
        <v>631</v>
      </c>
      <c r="B144">
        <v>1</v>
      </c>
      <c r="C144" s="16" t="s">
        <v>646</v>
      </c>
      <c r="D144">
        <v>1</v>
      </c>
    </row>
    <row r="145" spans="1:4">
      <c r="A145" t="s">
        <v>631</v>
      </c>
      <c r="B145">
        <v>2</v>
      </c>
    </row>
    <row r="146" spans="1:4">
      <c r="A146" t="s">
        <v>631</v>
      </c>
      <c r="B146">
        <v>3</v>
      </c>
    </row>
    <row r="147" spans="1:4">
      <c r="A147" t="s">
        <v>631</v>
      </c>
      <c r="B147">
        <v>4</v>
      </c>
    </row>
    <row r="148" spans="1:4">
      <c r="A148" t="s">
        <v>656</v>
      </c>
      <c r="B148">
        <v>1</v>
      </c>
      <c r="C148" s="16" t="s">
        <v>672</v>
      </c>
      <c r="D148">
        <v>-7.13048704770323</v>
      </c>
    </row>
    <row r="149" spans="1:4">
      <c r="A149" t="s">
        <v>682</v>
      </c>
      <c r="B149">
        <v>1</v>
      </c>
      <c r="C149" s="16" t="s">
        <v>699</v>
      </c>
      <c r="D149" s="16" t="s">
        <v>700</v>
      </c>
    </row>
    <row r="150" spans="1:4">
      <c r="A150" t="s">
        <v>682</v>
      </c>
      <c r="B150">
        <v>2</v>
      </c>
    </row>
    <row r="151" spans="1:4">
      <c r="A151" t="s">
        <v>682</v>
      </c>
      <c r="B151">
        <v>3</v>
      </c>
    </row>
    <row r="152" spans="1:4">
      <c r="A152" t="s">
        <v>682</v>
      </c>
      <c r="B152">
        <v>4</v>
      </c>
    </row>
    <row r="153" spans="1:4">
      <c r="A153" t="s">
        <v>682</v>
      </c>
      <c r="B153">
        <v>5</v>
      </c>
    </row>
    <row r="154" spans="1:4">
      <c r="A154" t="s">
        <v>682</v>
      </c>
      <c r="B154">
        <v>6</v>
      </c>
    </row>
    <row r="155" spans="1:4">
      <c r="A155" t="s">
        <v>682</v>
      </c>
      <c r="B155">
        <v>7</v>
      </c>
    </row>
    <row r="156" spans="1:4">
      <c r="A156" t="s">
        <v>682</v>
      </c>
      <c r="B156">
        <v>8</v>
      </c>
    </row>
    <row r="157" spans="1:4">
      <c r="A157" t="s">
        <v>715</v>
      </c>
      <c r="B157">
        <v>1</v>
      </c>
      <c r="C157" s="16" t="s">
        <v>727</v>
      </c>
      <c r="D157">
        <v>1</v>
      </c>
    </row>
    <row r="158" spans="1:4">
      <c r="A158" t="s">
        <v>715</v>
      </c>
      <c r="B158">
        <v>2</v>
      </c>
    </row>
    <row r="159" spans="1:4">
      <c r="A159" t="s">
        <v>715</v>
      </c>
      <c r="B159">
        <v>3</v>
      </c>
    </row>
    <row r="160" spans="1:4">
      <c r="A160" t="s">
        <v>715</v>
      </c>
      <c r="B160">
        <v>4</v>
      </c>
    </row>
    <row r="161" spans="1:4">
      <c r="A161" t="s">
        <v>737</v>
      </c>
      <c r="B161">
        <v>1</v>
      </c>
      <c r="C161" s="16" t="s">
        <v>754</v>
      </c>
      <c r="D161" s="16" t="s">
        <v>755</v>
      </c>
    </row>
    <row r="162" spans="1:4">
      <c r="A162" t="s">
        <v>737</v>
      </c>
      <c r="B162">
        <v>2</v>
      </c>
    </row>
    <row r="163" spans="1:4">
      <c r="A163" t="s">
        <v>737</v>
      </c>
      <c r="B163">
        <v>3</v>
      </c>
    </row>
    <row r="164" spans="1:4">
      <c r="A164" t="s">
        <v>771</v>
      </c>
      <c r="B164">
        <v>1</v>
      </c>
      <c r="C164" s="16" t="s">
        <v>785</v>
      </c>
      <c r="D164">
        <v>1</v>
      </c>
    </row>
    <row r="165" spans="1:4">
      <c r="A165" t="s">
        <v>771</v>
      </c>
      <c r="B165">
        <v>2</v>
      </c>
    </row>
    <row r="166" spans="1:4">
      <c r="A166" t="s">
        <v>771</v>
      </c>
      <c r="B166">
        <v>3</v>
      </c>
    </row>
    <row r="167" spans="1:4">
      <c r="A167" t="s">
        <v>771</v>
      </c>
      <c r="B167">
        <v>4</v>
      </c>
    </row>
    <row r="168" spans="1:4">
      <c r="A168" t="s">
        <v>771</v>
      </c>
      <c r="B168">
        <v>5</v>
      </c>
    </row>
    <row r="169" spans="1:4">
      <c r="A169" t="s">
        <v>771</v>
      </c>
      <c r="B169">
        <v>6</v>
      </c>
    </row>
    <row r="170" spans="1:4">
      <c r="A170" t="s">
        <v>771</v>
      </c>
      <c r="B170">
        <v>7</v>
      </c>
    </row>
    <row r="171" spans="1:4">
      <c r="A171" t="s">
        <v>771</v>
      </c>
      <c r="B171">
        <v>8</v>
      </c>
    </row>
    <row r="172" spans="1:4">
      <c r="A172" t="s">
        <v>771</v>
      </c>
      <c r="B172">
        <v>9</v>
      </c>
    </row>
    <row r="173" spans="1:4">
      <c r="A173" t="s">
        <v>795</v>
      </c>
      <c r="B173">
        <v>1</v>
      </c>
      <c r="C173" s="16" t="s">
        <v>811</v>
      </c>
      <c r="D173" s="16" t="s">
        <v>812</v>
      </c>
    </row>
    <row r="174" spans="1:4">
      <c r="A174" t="s">
        <v>795</v>
      </c>
      <c r="B174">
        <v>2</v>
      </c>
    </row>
    <row r="175" spans="1:4">
      <c r="A175" t="s">
        <v>795</v>
      </c>
      <c r="B175">
        <v>3</v>
      </c>
    </row>
    <row r="176" spans="1:4">
      <c r="A176" t="s">
        <v>795</v>
      </c>
      <c r="B176">
        <v>4</v>
      </c>
    </row>
    <row r="177" spans="1:4">
      <c r="A177" t="s">
        <v>795</v>
      </c>
      <c r="B177">
        <v>5</v>
      </c>
    </row>
    <row r="178" spans="1:4">
      <c r="A178" t="s">
        <v>795</v>
      </c>
      <c r="B178">
        <v>6</v>
      </c>
    </row>
    <row r="179" spans="1:4">
      <c r="A179" t="s">
        <v>827</v>
      </c>
      <c r="B179">
        <v>1</v>
      </c>
      <c r="C179" s="16" t="s">
        <v>839</v>
      </c>
      <c r="D179" s="16" t="s">
        <v>840</v>
      </c>
    </row>
    <row r="180" spans="1:4">
      <c r="A180" t="s">
        <v>827</v>
      </c>
      <c r="B180">
        <v>2</v>
      </c>
    </row>
    <row r="181" spans="1:4">
      <c r="A181" t="s">
        <v>827</v>
      </c>
      <c r="B181">
        <v>3</v>
      </c>
    </row>
    <row r="182" spans="1:4">
      <c r="A182" t="s">
        <v>827</v>
      </c>
      <c r="B182">
        <v>4</v>
      </c>
    </row>
    <row r="183" spans="1:4">
      <c r="A183" t="s">
        <v>827</v>
      </c>
      <c r="B183">
        <v>5</v>
      </c>
    </row>
    <row r="184" spans="1:4">
      <c r="A184" t="s">
        <v>827</v>
      </c>
      <c r="B184">
        <v>6</v>
      </c>
    </row>
    <row r="185" spans="1:4">
      <c r="A185" t="s">
        <v>827</v>
      </c>
      <c r="B185">
        <v>7</v>
      </c>
    </row>
    <row r="186" spans="1:4">
      <c r="A186" t="s">
        <v>827</v>
      </c>
      <c r="B186">
        <v>8</v>
      </c>
    </row>
    <row r="187" spans="1:4">
      <c r="A187" t="s">
        <v>827</v>
      </c>
      <c r="B187">
        <v>9</v>
      </c>
    </row>
    <row r="188" spans="1:4">
      <c r="A188" t="s">
        <v>827</v>
      </c>
      <c r="B188">
        <v>10</v>
      </c>
    </row>
    <row r="189" spans="1:4">
      <c r="A189" t="s">
        <v>855</v>
      </c>
      <c r="B189">
        <v>1</v>
      </c>
      <c r="C189" s="16" t="s">
        <v>870</v>
      </c>
      <c r="D189">
        <v>1</v>
      </c>
    </row>
    <row r="190" spans="1:4">
      <c r="A190" t="s">
        <v>855</v>
      </c>
      <c r="B190">
        <v>2</v>
      </c>
    </row>
    <row r="191" spans="1:4">
      <c r="A191" t="s">
        <v>855</v>
      </c>
      <c r="B191">
        <v>3</v>
      </c>
    </row>
    <row r="192" spans="1:4">
      <c r="A192" t="s">
        <v>855</v>
      </c>
      <c r="B192">
        <v>4</v>
      </c>
    </row>
    <row r="193" spans="1:4">
      <c r="A193" t="s">
        <v>855</v>
      </c>
      <c r="B193">
        <v>5</v>
      </c>
    </row>
    <row r="194" spans="1:4">
      <c r="A194" t="s">
        <v>855</v>
      </c>
      <c r="B194">
        <v>6</v>
      </c>
    </row>
    <row r="195" spans="1:4">
      <c r="A195" t="s">
        <v>855</v>
      </c>
      <c r="B195">
        <v>7</v>
      </c>
    </row>
    <row r="196" spans="1:4">
      <c r="A196" t="s">
        <v>855</v>
      </c>
      <c r="B196">
        <v>8</v>
      </c>
    </row>
    <row r="197" spans="1:4">
      <c r="A197" t="s">
        <v>855</v>
      </c>
      <c r="B197">
        <v>9</v>
      </c>
    </row>
    <row r="198" spans="1:4">
      <c r="A198" t="s">
        <v>855</v>
      </c>
      <c r="B198">
        <v>10</v>
      </c>
    </row>
    <row r="199" spans="1:4">
      <c r="A199" t="s">
        <v>880</v>
      </c>
      <c r="B199">
        <v>1</v>
      </c>
      <c r="C199" s="16" t="s">
        <v>895</v>
      </c>
      <c r="D199">
        <v>1</v>
      </c>
    </row>
    <row r="200" spans="1:4">
      <c r="A200" t="s">
        <v>880</v>
      </c>
      <c r="B200">
        <v>2</v>
      </c>
    </row>
    <row r="201" spans="1:4">
      <c r="A201" t="s">
        <v>880</v>
      </c>
      <c r="B201">
        <v>3</v>
      </c>
    </row>
    <row r="202" spans="1:4">
      <c r="A202" t="s">
        <v>880</v>
      </c>
      <c r="B202">
        <v>4</v>
      </c>
    </row>
    <row r="203" spans="1:4">
      <c r="A203" t="s">
        <v>880</v>
      </c>
      <c r="B203">
        <v>5</v>
      </c>
    </row>
    <row r="204" spans="1:4">
      <c r="A204" t="s">
        <v>880</v>
      </c>
      <c r="B204">
        <v>6</v>
      </c>
    </row>
    <row r="205" spans="1:4">
      <c r="A205" t="s">
        <v>905</v>
      </c>
      <c r="B205">
        <v>1</v>
      </c>
      <c r="C205" s="16" t="s">
        <v>920</v>
      </c>
      <c r="D205">
        <v>1</v>
      </c>
    </row>
    <row r="206" spans="1:4">
      <c r="A206" t="s">
        <v>905</v>
      </c>
      <c r="B206">
        <v>2</v>
      </c>
    </row>
    <row r="207" spans="1:4">
      <c r="A207" t="s">
        <v>905</v>
      </c>
      <c r="B207">
        <v>3</v>
      </c>
    </row>
    <row r="208" spans="1:4">
      <c r="A208" t="s">
        <v>930</v>
      </c>
      <c r="B208">
        <v>1</v>
      </c>
      <c r="C208" s="16" t="s">
        <v>945</v>
      </c>
      <c r="D208" s="16" t="s">
        <v>946</v>
      </c>
    </row>
    <row r="209" spans="1:4">
      <c r="A209" t="s">
        <v>930</v>
      </c>
      <c r="B209">
        <v>2</v>
      </c>
    </row>
    <row r="210" spans="1:4">
      <c r="A210" t="s">
        <v>930</v>
      </c>
      <c r="B210">
        <v>3</v>
      </c>
    </row>
    <row r="211" spans="1:4">
      <c r="A211" t="s">
        <v>930</v>
      </c>
      <c r="B211">
        <v>4</v>
      </c>
    </row>
    <row r="212" spans="1:4">
      <c r="A212" t="s">
        <v>930</v>
      </c>
      <c r="B212">
        <v>5</v>
      </c>
    </row>
    <row r="213" spans="1:4">
      <c r="A213" t="s">
        <v>930</v>
      </c>
      <c r="B213">
        <v>6</v>
      </c>
    </row>
    <row r="214" spans="1:4">
      <c r="A214" t="s">
        <v>930</v>
      </c>
      <c r="B214">
        <v>7</v>
      </c>
    </row>
    <row r="215" spans="1:4">
      <c r="A215" t="s">
        <v>930</v>
      </c>
      <c r="B215">
        <v>8</v>
      </c>
    </row>
    <row r="216" spans="1:4">
      <c r="A216" t="s">
        <v>930</v>
      </c>
      <c r="B216">
        <v>9</v>
      </c>
    </row>
    <row r="217" spans="1:4">
      <c r="A217" t="s">
        <v>930</v>
      </c>
      <c r="B217">
        <v>10</v>
      </c>
    </row>
    <row r="218" spans="1:4">
      <c r="A218" t="s">
        <v>957</v>
      </c>
      <c r="B218">
        <v>1</v>
      </c>
      <c r="C218" s="16" t="s">
        <v>970</v>
      </c>
      <c r="D218" s="16" t="s">
        <v>971</v>
      </c>
    </row>
    <row r="219" spans="1:4">
      <c r="A219" t="s">
        <v>957</v>
      </c>
      <c r="B219">
        <v>2</v>
      </c>
    </row>
    <row r="220" spans="1:4">
      <c r="A220" t="s">
        <v>957</v>
      </c>
      <c r="B220">
        <v>3</v>
      </c>
    </row>
    <row r="221" spans="1:4">
      <c r="A221" t="s">
        <v>986</v>
      </c>
      <c r="B221">
        <v>1</v>
      </c>
      <c r="C221" s="16" t="s">
        <v>1003</v>
      </c>
      <c r="D221" s="16" t="s">
        <v>1004</v>
      </c>
    </row>
    <row r="222" spans="1:4">
      <c r="A222" t="s">
        <v>986</v>
      </c>
      <c r="B222">
        <v>2</v>
      </c>
    </row>
    <row r="223" spans="1:4">
      <c r="A223" t="s">
        <v>986</v>
      </c>
      <c r="B223">
        <v>3</v>
      </c>
    </row>
    <row r="224" spans="1:4">
      <c r="A224" t="s">
        <v>986</v>
      </c>
      <c r="B224">
        <v>4</v>
      </c>
    </row>
    <row r="225" spans="1:4">
      <c r="A225" t="s">
        <v>986</v>
      </c>
      <c r="B225">
        <v>5</v>
      </c>
    </row>
    <row r="226" spans="1:4">
      <c r="A226" t="s">
        <v>986</v>
      </c>
      <c r="B226">
        <v>6</v>
      </c>
    </row>
    <row r="227" spans="1:4">
      <c r="A227" t="s">
        <v>986</v>
      </c>
      <c r="B227">
        <v>7</v>
      </c>
    </row>
    <row r="228" spans="1:4">
      <c r="A228" t="s">
        <v>1015</v>
      </c>
      <c r="B228">
        <v>1</v>
      </c>
      <c r="C228" s="16" t="s">
        <v>1031</v>
      </c>
      <c r="D228" s="16" t="s">
        <v>1032</v>
      </c>
    </row>
    <row r="229" spans="1:4">
      <c r="A229" t="s">
        <v>1015</v>
      </c>
      <c r="B229">
        <v>2</v>
      </c>
    </row>
    <row r="230" spans="1:4">
      <c r="A230" t="s">
        <v>1015</v>
      </c>
      <c r="B230">
        <v>3</v>
      </c>
    </row>
    <row r="231" spans="1:4">
      <c r="A231" t="s">
        <v>1015</v>
      </c>
      <c r="B231">
        <v>4</v>
      </c>
    </row>
    <row r="232" spans="1:4">
      <c r="A232" t="s">
        <v>1015</v>
      </c>
      <c r="B232">
        <v>5</v>
      </c>
    </row>
    <row r="233" spans="1:4">
      <c r="A233" t="s">
        <v>1015</v>
      </c>
      <c r="B233">
        <v>6</v>
      </c>
    </row>
    <row r="234" spans="1:4">
      <c r="A234" t="s">
        <v>1015</v>
      </c>
      <c r="B234">
        <v>7</v>
      </c>
    </row>
    <row r="235" spans="1:4">
      <c r="A235" t="s">
        <v>1015</v>
      </c>
      <c r="B235">
        <v>8</v>
      </c>
    </row>
    <row r="236" spans="1:4">
      <c r="A236" t="s">
        <v>1047</v>
      </c>
      <c r="B236">
        <v>1</v>
      </c>
      <c r="C236" s="16" t="s">
        <v>1062</v>
      </c>
      <c r="D236">
        <v>1</v>
      </c>
    </row>
    <row r="237" spans="1:4">
      <c r="A237" t="s">
        <v>1047</v>
      </c>
      <c r="B237">
        <v>2</v>
      </c>
    </row>
    <row r="238" spans="1:4">
      <c r="A238" t="s">
        <v>1047</v>
      </c>
      <c r="B238">
        <v>3</v>
      </c>
    </row>
    <row r="239" spans="1:4">
      <c r="A239" t="s">
        <v>1072</v>
      </c>
      <c r="B239">
        <v>1</v>
      </c>
      <c r="C239" s="16" t="s">
        <v>1084</v>
      </c>
      <c r="D239">
        <v>1</v>
      </c>
    </row>
    <row r="240" spans="1:4">
      <c r="A240" t="s">
        <v>1072</v>
      </c>
      <c r="B240">
        <v>2</v>
      </c>
    </row>
    <row r="241" spans="1:4">
      <c r="A241" t="s">
        <v>1094</v>
      </c>
      <c r="B241">
        <v>1</v>
      </c>
      <c r="C241" s="16" t="s">
        <v>1110</v>
      </c>
      <c r="D241">
        <v>1</v>
      </c>
    </row>
    <row r="242" spans="1:4">
      <c r="A242" t="s">
        <v>1094</v>
      </c>
      <c r="B242">
        <v>2</v>
      </c>
    </row>
    <row r="243" spans="1:4">
      <c r="A243" t="s">
        <v>1094</v>
      </c>
      <c r="B243">
        <v>3</v>
      </c>
    </row>
    <row r="244" spans="1:4">
      <c r="A244" t="s">
        <v>1094</v>
      </c>
      <c r="B244">
        <v>4</v>
      </c>
    </row>
    <row r="245" spans="1:4">
      <c r="A245" t="s">
        <v>1094</v>
      </c>
      <c r="B245">
        <v>5</v>
      </c>
    </row>
    <row r="246" spans="1:4">
      <c r="A246" t="s">
        <v>1094</v>
      </c>
      <c r="B246">
        <v>6</v>
      </c>
    </row>
    <row r="247" spans="1:4">
      <c r="A247" t="s">
        <v>1094</v>
      </c>
      <c r="B247">
        <v>7</v>
      </c>
    </row>
    <row r="248" spans="1:4">
      <c r="A248" t="s">
        <v>1094</v>
      </c>
      <c r="B248">
        <v>8</v>
      </c>
    </row>
    <row r="249" spans="1:4">
      <c r="A249" t="s">
        <v>1094</v>
      </c>
      <c r="B249">
        <v>9</v>
      </c>
    </row>
    <row r="250" spans="1:4">
      <c r="A250" t="s">
        <v>1094</v>
      </c>
      <c r="B250">
        <v>10</v>
      </c>
    </row>
    <row r="251" spans="1:4">
      <c r="A251" t="s">
        <v>1121</v>
      </c>
      <c r="B251">
        <v>1</v>
      </c>
      <c r="C251" s="16" t="s">
        <v>1137</v>
      </c>
      <c r="D251">
        <v>1</v>
      </c>
    </row>
    <row r="252" spans="1:4">
      <c r="A252" t="s">
        <v>1121</v>
      </c>
      <c r="B252">
        <v>2</v>
      </c>
    </row>
    <row r="253" spans="1:4">
      <c r="A253" t="s">
        <v>1121</v>
      </c>
      <c r="B253">
        <v>3</v>
      </c>
    </row>
    <row r="254" spans="1:4">
      <c r="A254" t="s">
        <v>1121</v>
      </c>
      <c r="B254">
        <v>4</v>
      </c>
    </row>
    <row r="255" spans="1:4">
      <c r="A255" t="s">
        <v>1121</v>
      </c>
      <c r="B255">
        <v>5</v>
      </c>
    </row>
    <row r="256" spans="1:4">
      <c r="A256" t="s">
        <v>1147</v>
      </c>
      <c r="B256">
        <v>1</v>
      </c>
      <c r="C256" s="16" t="s">
        <v>1160</v>
      </c>
      <c r="D256">
        <v>1</v>
      </c>
    </row>
    <row r="257" spans="1:4">
      <c r="A257" t="s">
        <v>1147</v>
      </c>
      <c r="B257">
        <v>2</v>
      </c>
    </row>
    <row r="258" spans="1:4">
      <c r="A258" t="s">
        <v>1147</v>
      </c>
      <c r="B258">
        <v>3</v>
      </c>
    </row>
    <row r="259" spans="1:4">
      <c r="A259" t="s">
        <v>1170</v>
      </c>
      <c r="B259">
        <v>1</v>
      </c>
      <c r="C259" s="16" t="s">
        <v>1185</v>
      </c>
      <c r="D259" s="16" t="s">
        <v>1186</v>
      </c>
    </row>
    <row r="260" spans="1:4">
      <c r="A260" t="s">
        <v>1170</v>
      </c>
      <c r="B260">
        <v>2</v>
      </c>
    </row>
    <row r="261" spans="1:4">
      <c r="A261" t="s">
        <v>1170</v>
      </c>
      <c r="B261">
        <v>3</v>
      </c>
    </row>
    <row r="262" spans="1:4">
      <c r="A262" t="s">
        <v>1170</v>
      </c>
      <c r="B262">
        <v>4</v>
      </c>
    </row>
    <row r="263" spans="1:4">
      <c r="A263" t="s">
        <v>1170</v>
      </c>
      <c r="B263">
        <v>5</v>
      </c>
    </row>
    <row r="264" spans="1:4">
      <c r="A264" t="s">
        <v>1201</v>
      </c>
      <c r="B264">
        <v>1</v>
      </c>
      <c r="C264" s="16" t="s">
        <v>1216</v>
      </c>
      <c r="D264">
        <v>1</v>
      </c>
    </row>
    <row r="265" spans="1:4">
      <c r="A265" t="s">
        <v>1201</v>
      </c>
      <c r="B265">
        <v>2</v>
      </c>
    </row>
    <row r="266" spans="1:4">
      <c r="A266" t="s">
        <v>1201</v>
      </c>
      <c r="B266">
        <v>3</v>
      </c>
    </row>
    <row r="267" spans="1:4">
      <c r="A267" t="s">
        <v>1201</v>
      </c>
      <c r="B267">
        <v>4</v>
      </c>
    </row>
    <row r="268" spans="1:4">
      <c r="A268" t="s">
        <v>1226</v>
      </c>
      <c r="B268">
        <v>1</v>
      </c>
      <c r="C268" s="16" t="s">
        <v>1239</v>
      </c>
      <c r="D268">
        <v>1</v>
      </c>
    </row>
    <row r="269" spans="1:4">
      <c r="A269" t="s">
        <v>1226</v>
      </c>
      <c r="B269">
        <v>2</v>
      </c>
    </row>
    <row r="270" spans="1:4">
      <c r="A270" t="s">
        <v>1249</v>
      </c>
      <c r="B270">
        <v>1</v>
      </c>
      <c r="C270" s="16" t="s">
        <v>1260</v>
      </c>
      <c r="D270">
        <v>-0.132110294349699</v>
      </c>
    </row>
    <row r="271" spans="1:4">
      <c r="A271" t="s">
        <v>1249</v>
      </c>
      <c r="B271">
        <v>2</v>
      </c>
    </row>
    <row r="272" spans="1:4">
      <c r="A272" t="s">
        <v>1274</v>
      </c>
      <c r="B272">
        <v>1</v>
      </c>
      <c r="C272" s="16" t="s">
        <v>1288</v>
      </c>
      <c r="D272">
        <v>1</v>
      </c>
    </row>
    <row r="273" spans="1:4">
      <c r="A273" t="s">
        <v>1274</v>
      </c>
      <c r="B273">
        <v>2</v>
      </c>
    </row>
    <row r="274" spans="1:4">
      <c r="A274" t="s">
        <v>1274</v>
      </c>
      <c r="B274">
        <v>3</v>
      </c>
    </row>
    <row r="275" spans="1:4">
      <c r="A275" t="s">
        <v>1274</v>
      </c>
      <c r="B275">
        <v>4</v>
      </c>
    </row>
    <row r="276" spans="1:4">
      <c r="A276" t="s">
        <v>1298</v>
      </c>
      <c r="B276">
        <v>1</v>
      </c>
      <c r="C276" s="16" t="s">
        <v>1311</v>
      </c>
      <c r="D276">
        <v>1</v>
      </c>
    </row>
    <row r="277" spans="1:4">
      <c r="A277" t="s">
        <v>1298</v>
      </c>
      <c r="B277">
        <v>2</v>
      </c>
    </row>
    <row r="278" spans="1:4">
      <c r="A278" t="s">
        <v>1298</v>
      </c>
      <c r="B278">
        <v>3</v>
      </c>
    </row>
    <row r="279" spans="1:4">
      <c r="A279" t="s">
        <v>1298</v>
      </c>
      <c r="B279">
        <v>4</v>
      </c>
    </row>
    <row r="280" spans="1:4">
      <c r="A280" t="s">
        <v>1298</v>
      </c>
      <c r="B280">
        <v>5</v>
      </c>
    </row>
    <row r="281" spans="1:4">
      <c r="A281" t="s">
        <v>1298</v>
      </c>
      <c r="B281">
        <v>6</v>
      </c>
    </row>
    <row r="282" spans="1:4">
      <c r="A282" t="s">
        <v>1298</v>
      </c>
      <c r="B282">
        <v>7</v>
      </c>
    </row>
    <row r="283" spans="1:4">
      <c r="A283" t="s">
        <v>1298</v>
      </c>
      <c r="B283">
        <v>8</v>
      </c>
    </row>
    <row r="284" spans="1:4">
      <c r="A284" t="s">
        <v>1298</v>
      </c>
      <c r="B284">
        <v>9</v>
      </c>
    </row>
    <row r="285" spans="1:4">
      <c r="A285" t="s">
        <v>1298</v>
      </c>
      <c r="B285">
        <v>10</v>
      </c>
    </row>
    <row r="286" spans="1:4">
      <c r="A286" t="s">
        <v>1321</v>
      </c>
      <c r="B286">
        <v>1</v>
      </c>
      <c r="C286" s="16" t="s">
        <v>1336</v>
      </c>
      <c r="D286">
        <v>1</v>
      </c>
    </row>
    <row r="287" spans="1:4">
      <c r="A287" t="s">
        <v>1321</v>
      </c>
      <c r="B287">
        <v>2</v>
      </c>
    </row>
    <row r="288" spans="1:4">
      <c r="A288" t="s">
        <v>1321</v>
      </c>
      <c r="B288">
        <v>3</v>
      </c>
    </row>
    <row r="289" spans="1:4">
      <c r="A289" t="s">
        <v>1321</v>
      </c>
      <c r="B289">
        <v>4</v>
      </c>
    </row>
    <row r="290" spans="1:4">
      <c r="A290" t="s">
        <v>1321</v>
      </c>
      <c r="B290">
        <v>5</v>
      </c>
    </row>
    <row r="291" spans="1:4">
      <c r="A291" t="s">
        <v>1321</v>
      </c>
      <c r="B291">
        <v>6</v>
      </c>
    </row>
    <row r="292" spans="1:4">
      <c r="A292" t="s">
        <v>1346</v>
      </c>
      <c r="B292">
        <v>1</v>
      </c>
      <c r="C292" s="16" t="s">
        <v>1362</v>
      </c>
      <c r="D292" s="16" t="s">
        <v>1363</v>
      </c>
    </row>
    <row r="293" spans="1:4">
      <c r="A293" t="s">
        <v>1346</v>
      </c>
      <c r="B293">
        <v>2</v>
      </c>
    </row>
    <row r="294" spans="1:4">
      <c r="A294" t="s">
        <v>1346</v>
      </c>
      <c r="B294">
        <v>3</v>
      </c>
    </row>
    <row r="295" spans="1:4">
      <c r="A295" t="s">
        <v>1372</v>
      </c>
      <c r="B295">
        <v>1</v>
      </c>
      <c r="C295" s="16" t="s">
        <v>1388</v>
      </c>
      <c r="D295" s="16" t="s">
        <v>1389</v>
      </c>
    </row>
    <row r="296" spans="1:4">
      <c r="A296" t="s">
        <v>1372</v>
      </c>
      <c r="B296">
        <v>2</v>
      </c>
    </row>
    <row r="297" spans="1:4">
      <c r="A297" t="s">
        <v>1404</v>
      </c>
      <c r="B297">
        <v>1</v>
      </c>
      <c r="C297" s="16" t="s">
        <v>1420</v>
      </c>
      <c r="D297" s="16" t="s">
        <v>1421</v>
      </c>
    </row>
    <row r="298" spans="1:4">
      <c r="A298" t="s">
        <v>1404</v>
      </c>
      <c r="B298">
        <v>2</v>
      </c>
    </row>
    <row r="299" spans="1:4">
      <c r="A299" t="s">
        <v>1404</v>
      </c>
      <c r="B299">
        <v>3</v>
      </c>
    </row>
    <row r="300" spans="1:4">
      <c r="A300" t="s">
        <v>1404</v>
      </c>
      <c r="B300">
        <v>4</v>
      </c>
    </row>
    <row r="301" spans="1:4">
      <c r="A301" t="s">
        <v>1404</v>
      </c>
      <c r="B301">
        <v>5</v>
      </c>
    </row>
    <row r="302" spans="1:4">
      <c r="A302" t="s">
        <v>1404</v>
      </c>
      <c r="B302">
        <v>6</v>
      </c>
    </row>
    <row r="303" spans="1:4">
      <c r="A303" t="s">
        <v>1404</v>
      </c>
      <c r="B303">
        <v>7</v>
      </c>
    </row>
    <row r="304" spans="1:4">
      <c r="A304" t="s">
        <v>1404</v>
      </c>
      <c r="B304">
        <v>8</v>
      </c>
    </row>
    <row r="305" spans="1:4">
      <c r="A305" t="s">
        <v>1404</v>
      </c>
      <c r="B305">
        <v>9</v>
      </c>
    </row>
    <row r="306" spans="1:4">
      <c r="A306" t="s">
        <v>1404</v>
      </c>
      <c r="B306">
        <v>10</v>
      </c>
    </row>
    <row r="307" spans="1:4">
      <c r="A307" t="s">
        <v>1436</v>
      </c>
      <c r="B307">
        <v>1</v>
      </c>
      <c r="C307" s="16" t="s">
        <v>1454</v>
      </c>
      <c r="D307" s="16" t="s">
        <v>1455</v>
      </c>
    </row>
    <row r="308" spans="1:4">
      <c r="A308" t="s">
        <v>1436</v>
      </c>
      <c r="B308">
        <v>2</v>
      </c>
    </row>
    <row r="309" spans="1:4">
      <c r="A309" t="s">
        <v>1436</v>
      </c>
      <c r="B309">
        <v>3</v>
      </c>
    </row>
    <row r="310" spans="1:4">
      <c r="A310" t="s">
        <v>1436</v>
      </c>
      <c r="B310">
        <v>4</v>
      </c>
    </row>
    <row r="311" spans="1:4">
      <c r="A311" t="s">
        <v>1436</v>
      </c>
      <c r="B311">
        <v>5</v>
      </c>
    </row>
    <row r="312" spans="1:4">
      <c r="A312" t="s">
        <v>1436</v>
      </c>
      <c r="B312">
        <v>6</v>
      </c>
    </row>
    <row r="313" spans="1:4">
      <c r="A313" t="s">
        <v>1436</v>
      </c>
      <c r="B313">
        <v>7</v>
      </c>
    </row>
    <row r="314" spans="1:4">
      <c r="A314" t="s">
        <v>1436</v>
      </c>
      <c r="B314">
        <v>8</v>
      </c>
    </row>
    <row r="315" spans="1:4">
      <c r="A315" t="s">
        <v>1436</v>
      </c>
      <c r="B315">
        <v>9</v>
      </c>
    </row>
    <row r="316" spans="1:4">
      <c r="A316" t="s">
        <v>1436</v>
      </c>
      <c r="B316">
        <v>10</v>
      </c>
    </row>
    <row r="317" spans="1:4">
      <c r="A317" t="s">
        <v>1470</v>
      </c>
      <c r="B317">
        <v>1</v>
      </c>
      <c r="C317" s="16" t="s">
        <v>1487</v>
      </c>
      <c r="D317" s="16" t="s">
        <v>1488</v>
      </c>
    </row>
    <row r="318" spans="1:4">
      <c r="A318" t="s">
        <v>1470</v>
      </c>
      <c r="B318">
        <v>2</v>
      </c>
    </row>
    <row r="319" spans="1:4">
      <c r="A319" t="s">
        <v>1470</v>
      </c>
      <c r="B319">
        <v>3</v>
      </c>
    </row>
    <row r="320" spans="1:4">
      <c r="A320" t="s">
        <v>1470</v>
      </c>
      <c r="B320">
        <v>4</v>
      </c>
    </row>
    <row r="321" spans="1:2">
      <c r="A321" t="s">
        <v>1470</v>
      </c>
      <c r="B321">
        <v>5</v>
      </c>
    </row>
    <row r="322" spans="1:2">
      <c r="A322" t="s">
        <v>1470</v>
      </c>
      <c r="B322">
        <v>6</v>
      </c>
    </row>
    <row r="323" spans="1:2">
      <c r="A323" t="s">
        <v>1470</v>
      </c>
      <c r="B323">
        <v>7</v>
      </c>
    </row>
    <row r="324" spans="1:2">
      <c r="A324" t="s">
        <v>1470</v>
      </c>
      <c r="B324">
        <v>8</v>
      </c>
    </row>
    <row r="325" spans="1:2">
      <c r="A325" t="s">
        <v>1470</v>
      </c>
      <c r="B325">
        <v>9</v>
      </c>
    </row>
    <row r="326" spans="1:2">
      <c r="A326" t="s">
        <v>1470</v>
      </c>
      <c r="B326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6"/>
  <sheetViews>
    <sheetView workbookViewId="0">
      <selection activeCell="A1" sqref="A1:E326"/>
    </sheetView>
  </sheetViews>
  <sheetFormatPr defaultColWidth="9" defaultRowHeight="13.5" outlineLevelCol="6"/>
  <sheetData>
    <row r="1" ht="60" spans="1:7">
      <c r="A1" s="1" t="s">
        <v>0</v>
      </c>
      <c r="B1" s="1" t="s">
        <v>1</v>
      </c>
      <c r="C1" s="2" t="s">
        <v>27</v>
      </c>
      <c r="D1" s="2" t="s">
        <v>28</v>
      </c>
      <c r="E1" s="2" t="s">
        <v>29</v>
      </c>
      <c r="F1" s="2" t="s">
        <v>1499</v>
      </c>
      <c r="G1" s="2" t="s">
        <v>1500</v>
      </c>
    </row>
    <row r="2" ht="14.25" spans="1:7">
      <c r="A2" s="3" t="s">
        <v>42</v>
      </c>
      <c r="B2" s="4" t="s">
        <v>1501</v>
      </c>
      <c r="C2" s="5">
        <v>52</v>
      </c>
      <c r="D2" s="4" t="s">
        <v>66</v>
      </c>
      <c r="E2" s="4">
        <v>3</v>
      </c>
      <c r="F2" s="4" t="s">
        <v>1502</v>
      </c>
      <c r="G2" s="6" t="s">
        <v>1503</v>
      </c>
    </row>
    <row r="3" ht="14.25" spans="1:7">
      <c r="A3" s="7" t="s">
        <v>42</v>
      </c>
      <c r="B3" s="8" t="s">
        <v>1504</v>
      </c>
      <c r="C3" s="9">
        <v>53</v>
      </c>
      <c r="D3" s="8" t="s">
        <v>66</v>
      </c>
      <c r="E3" s="8">
        <v>2</v>
      </c>
      <c r="F3" s="8" t="s">
        <v>1502</v>
      </c>
      <c r="G3" s="10" t="s">
        <v>1505</v>
      </c>
    </row>
    <row r="4" ht="14.25" spans="1:7">
      <c r="A4" s="3" t="s">
        <v>42</v>
      </c>
      <c r="B4" s="4" t="s">
        <v>1506</v>
      </c>
      <c r="C4" s="5">
        <v>52</v>
      </c>
      <c r="D4" s="4" t="s">
        <v>66</v>
      </c>
      <c r="E4" s="4">
        <v>3</v>
      </c>
      <c r="F4" s="4" t="s">
        <v>1502</v>
      </c>
      <c r="G4" s="6" t="s">
        <v>1507</v>
      </c>
    </row>
    <row r="5" ht="14.25" spans="1:7">
      <c r="A5" s="7" t="s">
        <v>42</v>
      </c>
      <c r="B5" s="8" t="s">
        <v>1508</v>
      </c>
      <c r="C5" s="9">
        <v>25</v>
      </c>
      <c r="D5" s="8" t="s">
        <v>1112</v>
      </c>
      <c r="E5" s="8">
        <v>8</v>
      </c>
      <c r="F5" s="8" t="s">
        <v>1502</v>
      </c>
      <c r="G5" s="10" t="s">
        <v>1509</v>
      </c>
    </row>
    <row r="6" ht="14.25" spans="1:7">
      <c r="A6" s="3" t="s">
        <v>42</v>
      </c>
      <c r="B6" s="4" t="s">
        <v>1510</v>
      </c>
      <c r="C6" s="5">
        <v>25</v>
      </c>
      <c r="D6" s="4" t="s">
        <v>1112</v>
      </c>
      <c r="E6" s="4">
        <v>8</v>
      </c>
      <c r="F6" s="4" t="s">
        <v>1502</v>
      </c>
      <c r="G6" s="6" t="s">
        <v>1511</v>
      </c>
    </row>
    <row r="7" ht="14.25" spans="1:7">
      <c r="A7" s="7" t="s">
        <v>42</v>
      </c>
      <c r="B7" s="8" t="s">
        <v>1512</v>
      </c>
      <c r="C7" s="9">
        <v>42</v>
      </c>
      <c r="D7" s="8" t="s">
        <v>66</v>
      </c>
      <c r="E7" s="8">
        <v>6</v>
      </c>
      <c r="F7" s="8" t="s">
        <v>1502</v>
      </c>
      <c r="G7" s="10" t="s">
        <v>1505</v>
      </c>
    </row>
    <row r="8" ht="14.25" spans="1:7">
      <c r="A8" s="3" t="s">
        <v>42</v>
      </c>
      <c r="B8" s="4" t="s">
        <v>1513</v>
      </c>
      <c r="C8" s="5">
        <v>49</v>
      </c>
      <c r="D8" s="4" t="s">
        <v>66</v>
      </c>
      <c r="E8" s="4">
        <v>4</v>
      </c>
      <c r="F8" s="4" t="s">
        <v>1502</v>
      </c>
      <c r="G8" s="6" t="s">
        <v>1507</v>
      </c>
    </row>
    <row r="9" ht="14.25" spans="1:7">
      <c r="A9" s="7" t="s">
        <v>42</v>
      </c>
      <c r="B9" s="8" t="s">
        <v>1514</v>
      </c>
      <c r="C9" s="9">
        <v>47</v>
      </c>
      <c r="D9" s="8" t="s">
        <v>66</v>
      </c>
      <c r="E9" s="8">
        <v>5</v>
      </c>
      <c r="F9" s="8" t="s">
        <v>1502</v>
      </c>
      <c r="G9" s="10" t="s">
        <v>1505</v>
      </c>
    </row>
    <row r="10" ht="14.25" spans="1:7">
      <c r="A10" s="3" t="s">
        <v>42</v>
      </c>
      <c r="B10" s="4" t="s">
        <v>1515</v>
      </c>
      <c r="C10" s="5">
        <v>66</v>
      </c>
      <c r="D10" s="4" t="s">
        <v>758</v>
      </c>
      <c r="E10" s="4">
        <v>1</v>
      </c>
      <c r="F10" s="4" t="s">
        <v>1516</v>
      </c>
      <c r="G10" s="6" t="s">
        <v>1517</v>
      </c>
    </row>
    <row r="11" ht="14.25" spans="1:7">
      <c r="A11" s="7" t="s">
        <v>42</v>
      </c>
      <c r="B11" s="8" t="s">
        <v>1518</v>
      </c>
      <c r="C11" s="9">
        <v>38</v>
      </c>
      <c r="D11" s="8" t="s">
        <v>1112</v>
      </c>
      <c r="E11" s="8">
        <v>7</v>
      </c>
      <c r="F11" s="8" t="s">
        <v>1502</v>
      </c>
      <c r="G11" s="10" t="s">
        <v>1507</v>
      </c>
    </row>
    <row r="12" ht="14.25" spans="1:7">
      <c r="A12" s="3" t="s">
        <v>79</v>
      </c>
      <c r="B12" s="4" t="s">
        <v>1501</v>
      </c>
      <c r="C12" s="5">
        <v>95</v>
      </c>
      <c r="D12" s="4" t="s">
        <v>98</v>
      </c>
      <c r="E12" s="4">
        <v>1</v>
      </c>
      <c r="F12" s="4" t="s">
        <v>1516</v>
      </c>
      <c r="G12" s="6" t="s">
        <v>1519</v>
      </c>
    </row>
    <row r="13" ht="14.25" spans="1:7">
      <c r="A13" s="7" t="s">
        <v>79</v>
      </c>
      <c r="B13" s="8" t="s">
        <v>1504</v>
      </c>
      <c r="C13" s="9">
        <v>95</v>
      </c>
      <c r="D13" s="8" t="s">
        <v>98</v>
      </c>
      <c r="E13" s="8">
        <v>1</v>
      </c>
      <c r="F13" s="8" t="s">
        <v>1516</v>
      </c>
      <c r="G13" s="10" t="s">
        <v>1519</v>
      </c>
    </row>
    <row r="14" ht="14.25" spans="1:7">
      <c r="A14" s="3" t="s">
        <v>79</v>
      </c>
      <c r="B14" s="4" t="s">
        <v>1506</v>
      </c>
      <c r="C14" s="5">
        <v>65</v>
      </c>
      <c r="D14" s="4" t="s">
        <v>758</v>
      </c>
      <c r="E14" s="4">
        <v>2</v>
      </c>
      <c r="F14" s="4" t="s">
        <v>1502</v>
      </c>
      <c r="G14" s="6" t="s">
        <v>1520</v>
      </c>
    </row>
    <row r="15" ht="14.25" spans="1:7">
      <c r="A15" s="7" t="s">
        <v>79</v>
      </c>
      <c r="B15" s="8" t="s">
        <v>1508</v>
      </c>
      <c r="C15" s="9">
        <v>14</v>
      </c>
      <c r="D15" s="8" t="s">
        <v>1112</v>
      </c>
      <c r="E15" s="8">
        <v>3</v>
      </c>
      <c r="F15" s="8" t="s">
        <v>1502</v>
      </c>
      <c r="G15" s="10" t="s">
        <v>1521</v>
      </c>
    </row>
    <row r="16" ht="14.25" spans="1:7">
      <c r="A16" s="3" t="s">
        <v>107</v>
      </c>
      <c r="B16" s="4" t="s">
        <v>1501</v>
      </c>
      <c r="C16" s="5">
        <v>95</v>
      </c>
      <c r="D16" s="4" t="s">
        <v>98</v>
      </c>
      <c r="E16" s="4">
        <v>1</v>
      </c>
      <c r="F16" s="4" t="s">
        <v>1516</v>
      </c>
      <c r="G16" s="6" t="s">
        <v>1522</v>
      </c>
    </row>
    <row r="17" ht="14.25" spans="1:7">
      <c r="A17" s="7" t="s">
        <v>107</v>
      </c>
      <c r="B17" s="8" t="s">
        <v>1504</v>
      </c>
      <c r="C17" s="9">
        <v>95</v>
      </c>
      <c r="D17" s="8" t="s">
        <v>98</v>
      </c>
      <c r="E17" s="8">
        <v>1</v>
      </c>
      <c r="F17" s="8" t="s">
        <v>1516</v>
      </c>
      <c r="G17" s="10" t="s">
        <v>1523</v>
      </c>
    </row>
    <row r="18" ht="14.25" spans="1:7">
      <c r="A18" s="3" t="s">
        <v>107</v>
      </c>
      <c r="B18" s="4" t="s">
        <v>1506</v>
      </c>
      <c r="C18" s="5">
        <v>68</v>
      </c>
      <c r="D18" s="4" t="s">
        <v>758</v>
      </c>
      <c r="E18" s="4">
        <v>6</v>
      </c>
      <c r="F18" s="4" t="s">
        <v>1502</v>
      </c>
      <c r="G18" s="6" t="s">
        <v>1524</v>
      </c>
    </row>
    <row r="19" ht="14.25" spans="1:7">
      <c r="A19" s="7" t="s">
        <v>107</v>
      </c>
      <c r="B19" s="8" t="s">
        <v>1508</v>
      </c>
      <c r="C19" s="9">
        <v>72</v>
      </c>
      <c r="D19" s="8" t="s">
        <v>758</v>
      </c>
      <c r="E19" s="8">
        <v>4</v>
      </c>
      <c r="F19" s="8" t="s">
        <v>1502</v>
      </c>
      <c r="G19" s="10" t="s">
        <v>1522</v>
      </c>
    </row>
    <row r="20" ht="14.25" spans="1:7">
      <c r="A20" s="3" t="s">
        <v>107</v>
      </c>
      <c r="B20" s="4" t="s">
        <v>1510</v>
      </c>
      <c r="C20" s="5">
        <v>57</v>
      </c>
      <c r="D20" s="4" t="s">
        <v>66</v>
      </c>
      <c r="E20" s="4">
        <v>8</v>
      </c>
      <c r="F20" s="4" t="s">
        <v>1502</v>
      </c>
      <c r="G20" s="6" t="s">
        <v>1522</v>
      </c>
    </row>
    <row r="21" ht="14.25" spans="1:7">
      <c r="A21" s="7" t="s">
        <v>107</v>
      </c>
      <c r="B21" s="8" t="s">
        <v>1512</v>
      </c>
      <c r="C21" s="9">
        <v>54</v>
      </c>
      <c r="D21" s="8" t="s">
        <v>66</v>
      </c>
      <c r="E21" s="8">
        <v>9</v>
      </c>
      <c r="F21" s="8" t="s">
        <v>1502</v>
      </c>
      <c r="G21" s="10" t="s">
        <v>1525</v>
      </c>
    </row>
    <row r="22" ht="14.25" spans="1:7">
      <c r="A22" s="3" t="s">
        <v>107</v>
      </c>
      <c r="B22" s="4" t="s">
        <v>1513</v>
      </c>
      <c r="C22" s="5">
        <v>60</v>
      </c>
      <c r="D22" s="4" t="s">
        <v>758</v>
      </c>
      <c r="E22" s="4">
        <v>7</v>
      </c>
      <c r="F22" s="4" t="s">
        <v>1502</v>
      </c>
      <c r="G22" s="6" t="s">
        <v>1526</v>
      </c>
    </row>
    <row r="23" ht="14.25" spans="1:7">
      <c r="A23" s="7" t="s">
        <v>107</v>
      </c>
      <c r="B23" s="8" t="s">
        <v>1514</v>
      </c>
      <c r="C23" s="9">
        <v>73</v>
      </c>
      <c r="D23" s="8" t="s">
        <v>758</v>
      </c>
      <c r="E23" s="8">
        <v>3</v>
      </c>
      <c r="F23" s="8" t="s">
        <v>1502</v>
      </c>
      <c r="G23" s="10" t="s">
        <v>1526</v>
      </c>
    </row>
    <row r="24" ht="14.25" spans="1:7">
      <c r="A24" s="3" t="s">
        <v>107</v>
      </c>
      <c r="B24" s="4" t="s">
        <v>1515</v>
      </c>
      <c r="C24" s="5">
        <v>78</v>
      </c>
      <c r="D24" s="4" t="s">
        <v>758</v>
      </c>
      <c r="E24" s="4">
        <v>2</v>
      </c>
      <c r="F24" s="4" t="s">
        <v>1502</v>
      </c>
      <c r="G24" s="6" t="s">
        <v>1526</v>
      </c>
    </row>
    <row r="25" ht="14.25" spans="1:7">
      <c r="A25" s="7" t="s">
        <v>107</v>
      </c>
      <c r="B25" s="8" t="s">
        <v>1518</v>
      </c>
      <c r="C25" s="9">
        <v>70</v>
      </c>
      <c r="D25" s="8" t="s">
        <v>758</v>
      </c>
      <c r="E25" s="8">
        <v>5</v>
      </c>
      <c r="F25" s="8" t="s">
        <v>1502</v>
      </c>
      <c r="G25" s="10" t="s">
        <v>1526</v>
      </c>
    </row>
    <row r="26" ht="14.25" spans="1:7">
      <c r="A26" s="3" t="s">
        <v>133</v>
      </c>
      <c r="B26" s="4" t="s">
        <v>1501</v>
      </c>
      <c r="C26" s="5">
        <v>99</v>
      </c>
      <c r="D26" s="4" t="s">
        <v>98</v>
      </c>
      <c r="E26" s="4">
        <v>1</v>
      </c>
      <c r="F26" s="4" t="s">
        <v>1516</v>
      </c>
      <c r="G26" s="6" t="s">
        <v>1527</v>
      </c>
    </row>
    <row r="27" ht="14.25" spans="1:7">
      <c r="A27" s="7" t="s">
        <v>133</v>
      </c>
      <c r="B27" s="8" t="s">
        <v>1504</v>
      </c>
      <c r="C27" s="9">
        <v>99</v>
      </c>
      <c r="D27" s="8" t="s">
        <v>98</v>
      </c>
      <c r="E27" s="8">
        <v>1</v>
      </c>
      <c r="F27" s="8" t="s">
        <v>1516</v>
      </c>
      <c r="G27" s="10" t="s">
        <v>1527</v>
      </c>
    </row>
    <row r="28" ht="14.25" spans="1:7">
      <c r="A28" s="3" t="s">
        <v>133</v>
      </c>
      <c r="B28" s="4" t="s">
        <v>1506</v>
      </c>
      <c r="C28" s="5">
        <v>94</v>
      </c>
      <c r="D28" s="4" t="s">
        <v>235</v>
      </c>
      <c r="E28" s="4">
        <v>2</v>
      </c>
      <c r="F28" s="4" t="s">
        <v>1502</v>
      </c>
      <c r="G28" s="6" t="s">
        <v>1528</v>
      </c>
    </row>
    <row r="29" ht="14.25" spans="1:7">
      <c r="A29" s="7" t="s">
        <v>133</v>
      </c>
      <c r="B29" s="8" t="s">
        <v>1508</v>
      </c>
      <c r="C29" s="9">
        <v>44</v>
      </c>
      <c r="D29" s="8" t="s">
        <v>66</v>
      </c>
      <c r="E29" s="8">
        <v>5</v>
      </c>
      <c r="F29" s="8" t="s">
        <v>1502</v>
      </c>
      <c r="G29" s="10" t="s">
        <v>1529</v>
      </c>
    </row>
    <row r="30" ht="14.25" spans="1:7">
      <c r="A30" s="3" t="s">
        <v>133</v>
      </c>
      <c r="B30" s="4" t="s">
        <v>1510</v>
      </c>
      <c r="C30" s="5">
        <v>52</v>
      </c>
      <c r="D30" s="4" t="s">
        <v>66</v>
      </c>
      <c r="E30" s="4">
        <v>4</v>
      </c>
      <c r="F30" s="4" t="s">
        <v>1502</v>
      </c>
      <c r="G30" s="6" t="s">
        <v>1529</v>
      </c>
    </row>
    <row r="31" ht="14.25" spans="1:7">
      <c r="A31" s="7" t="s">
        <v>133</v>
      </c>
      <c r="B31" s="8" t="s">
        <v>1512</v>
      </c>
      <c r="C31" s="9">
        <v>14</v>
      </c>
      <c r="D31" s="8" t="s">
        <v>1112</v>
      </c>
      <c r="E31" s="8">
        <v>6</v>
      </c>
      <c r="F31" s="8" t="s">
        <v>1502</v>
      </c>
      <c r="G31" s="10" t="s">
        <v>1529</v>
      </c>
    </row>
    <row r="32" ht="14.25" spans="1:7">
      <c r="A32" s="3" t="s">
        <v>133</v>
      </c>
      <c r="B32" s="4" t="s">
        <v>1513</v>
      </c>
      <c r="C32" s="5">
        <v>59</v>
      </c>
      <c r="D32" s="4" t="s">
        <v>66</v>
      </c>
      <c r="E32" s="4">
        <v>3</v>
      </c>
      <c r="F32" s="4" t="s">
        <v>1502</v>
      </c>
      <c r="G32" s="6" t="s">
        <v>1530</v>
      </c>
    </row>
    <row r="33" ht="14.25" spans="1:7">
      <c r="A33" s="7" t="s">
        <v>160</v>
      </c>
      <c r="B33" s="8" t="s">
        <v>1501</v>
      </c>
      <c r="C33" s="9">
        <v>52</v>
      </c>
      <c r="D33" s="8" t="s">
        <v>66</v>
      </c>
      <c r="E33" s="8">
        <v>1</v>
      </c>
      <c r="F33" s="8" t="s">
        <v>1516</v>
      </c>
      <c r="G33" s="10" t="s">
        <v>1531</v>
      </c>
    </row>
    <row r="34" ht="14.25" spans="1:7">
      <c r="A34" s="3" t="s">
        <v>160</v>
      </c>
      <c r="B34" s="4" t="s">
        <v>1504</v>
      </c>
      <c r="C34" s="5">
        <v>14</v>
      </c>
      <c r="D34" s="4" t="s">
        <v>1112</v>
      </c>
      <c r="E34" s="4">
        <v>2</v>
      </c>
      <c r="F34" s="4" t="s">
        <v>1502</v>
      </c>
      <c r="G34" s="6" t="s">
        <v>1532</v>
      </c>
    </row>
    <row r="35" ht="14.25" spans="1:7">
      <c r="A35" s="7" t="s">
        <v>192</v>
      </c>
      <c r="B35" s="8" t="s">
        <v>1501</v>
      </c>
      <c r="C35" s="9">
        <v>95</v>
      </c>
      <c r="D35" s="8" t="s">
        <v>98</v>
      </c>
      <c r="E35" s="8">
        <v>1</v>
      </c>
      <c r="F35" s="8" t="s">
        <v>1516</v>
      </c>
      <c r="G35" s="10" t="s">
        <v>1533</v>
      </c>
    </row>
    <row r="36" ht="14.25" spans="1:7">
      <c r="A36" s="3" t="s">
        <v>192</v>
      </c>
      <c r="B36" s="4" t="s">
        <v>1504</v>
      </c>
      <c r="C36" s="5">
        <v>49</v>
      </c>
      <c r="D36" s="4" t="s">
        <v>66</v>
      </c>
      <c r="E36" s="4">
        <v>4</v>
      </c>
      <c r="F36" s="4" t="s">
        <v>1502</v>
      </c>
      <c r="G36" s="6" t="s">
        <v>1533</v>
      </c>
    </row>
    <row r="37" ht="14.25" spans="1:7">
      <c r="A37" s="7" t="s">
        <v>192</v>
      </c>
      <c r="B37" s="8" t="s">
        <v>1506</v>
      </c>
      <c r="C37" s="9">
        <v>47</v>
      </c>
      <c r="D37" s="8" t="s">
        <v>66</v>
      </c>
      <c r="E37" s="8">
        <v>5</v>
      </c>
      <c r="F37" s="8" t="s">
        <v>1502</v>
      </c>
      <c r="G37" s="10" t="s">
        <v>1533</v>
      </c>
    </row>
    <row r="38" ht="14.25" spans="1:7">
      <c r="A38" s="3" t="s">
        <v>192</v>
      </c>
      <c r="B38" s="4" t="s">
        <v>1508</v>
      </c>
      <c r="C38" s="5">
        <v>46</v>
      </c>
      <c r="D38" s="4" t="s">
        <v>66</v>
      </c>
      <c r="E38" s="4">
        <v>6</v>
      </c>
      <c r="F38" s="4" t="s">
        <v>1502</v>
      </c>
      <c r="G38" s="6" t="s">
        <v>1533</v>
      </c>
    </row>
    <row r="39" ht="14.25" spans="1:7">
      <c r="A39" s="7" t="s">
        <v>192</v>
      </c>
      <c r="B39" s="8" t="s">
        <v>1510</v>
      </c>
      <c r="C39" s="9">
        <v>46</v>
      </c>
      <c r="D39" s="8" t="s">
        <v>66</v>
      </c>
      <c r="E39" s="8">
        <v>6</v>
      </c>
      <c r="F39" s="8" t="s">
        <v>1502</v>
      </c>
      <c r="G39" s="10" t="s">
        <v>1534</v>
      </c>
    </row>
    <row r="40" ht="14.25" spans="1:7">
      <c r="A40" s="3" t="s">
        <v>192</v>
      </c>
      <c r="B40" s="4" t="s">
        <v>1512</v>
      </c>
      <c r="C40" s="5">
        <v>49</v>
      </c>
      <c r="D40" s="4" t="s">
        <v>66</v>
      </c>
      <c r="E40" s="4">
        <v>4</v>
      </c>
      <c r="F40" s="4" t="s">
        <v>1502</v>
      </c>
      <c r="G40" s="6" t="s">
        <v>1534</v>
      </c>
    </row>
    <row r="41" ht="14.25" spans="1:7">
      <c r="A41" s="7" t="s">
        <v>192</v>
      </c>
      <c r="B41" s="8" t="s">
        <v>1513</v>
      </c>
      <c r="C41" s="9">
        <v>51</v>
      </c>
      <c r="D41" s="8" t="s">
        <v>66</v>
      </c>
      <c r="E41" s="8">
        <v>3</v>
      </c>
      <c r="F41" s="8" t="s">
        <v>1502</v>
      </c>
      <c r="G41" s="10" t="s">
        <v>1534</v>
      </c>
    </row>
    <row r="42" ht="14.25" spans="1:7">
      <c r="A42" s="3" t="s">
        <v>192</v>
      </c>
      <c r="B42" s="4" t="s">
        <v>1514</v>
      </c>
      <c r="C42" s="5">
        <v>51</v>
      </c>
      <c r="D42" s="4" t="s">
        <v>66</v>
      </c>
      <c r="E42" s="4">
        <v>3</v>
      </c>
      <c r="F42" s="4" t="s">
        <v>1502</v>
      </c>
      <c r="G42" s="6" t="s">
        <v>1534</v>
      </c>
    </row>
    <row r="43" ht="14.25" spans="1:7">
      <c r="A43" s="7" t="s">
        <v>192</v>
      </c>
      <c r="B43" s="8" t="s">
        <v>1515</v>
      </c>
      <c r="C43" s="9">
        <v>51</v>
      </c>
      <c r="D43" s="8" t="s">
        <v>66</v>
      </c>
      <c r="E43" s="8">
        <v>3</v>
      </c>
      <c r="F43" s="8" t="s">
        <v>1502</v>
      </c>
      <c r="G43" s="10" t="s">
        <v>1534</v>
      </c>
    </row>
    <row r="44" ht="14.25" spans="1:7">
      <c r="A44" s="3" t="s">
        <v>192</v>
      </c>
      <c r="B44" s="4" t="s">
        <v>1518</v>
      </c>
      <c r="C44" s="5">
        <v>57</v>
      </c>
      <c r="D44" s="4" t="s">
        <v>66</v>
      </c>
      <c r="E44" s="4">
        <v>2</v>
      </c>
      <c r="F44" s="4" t="s">
        <v>1502</v>
      </c>
      <c r="G44" s="6" t="s">
        <v>1533</v>
      </c>
    </row>
    <row r="45" ht="14.25" spans="1:7">
      <c r="A45" s="7" t="s">
        <v>220</v>
      </c>
      <c r="B45" s="8" t="s">
        <v>1501</v>
      </c>
      <c r="C45" s="9">
        <v>94</v>
      </c>
      <c r="D45" s="8" t="s">
        <v>235</v>
      </c>
      <c r="E45" s="8">
        <v>2</v>
      </c>
      <c r="F45" s="8" t="s">
        <v>1502</v>
      </c>
      <c r="G45" s="10" t="s">
        <v>1535</v>
      </c>
    </row>
    <row r="46" ht="14.25" spans="1:7">
      <c r="A46" s="3" t="s">
        <v>220</v>
      </c>
      <c r="B46" s="4" t="s">
        <v>1504</v>
      </c>
      <c r="C46" s="5">
        <v>95</v>
      </c>
      <c r="D46" s="4" t="s">
        <v>98</v>
      </c>
      <c r="E46" s="4">
        <v>1</v>
      </c>
      <c r="F46" s="4" t="s">
        <v>1516</v>
      </c>
      <c r="G46" s="6" t="s">
        <v>1536</v>
      </c>
    </row>
    <row r="47" ht="14.25" spans="1:7">
      <c r="A47" s="7" t="s">
        <v>220</v>
      </c>
      <c r="B47" s="8" t="s">
        <v>1506</v>
      </c>
      <c r="C47" s="9">
        <v>94</v>
      </c>
      <c r="D47" s="8" t="s">
        <v>235</v>
      </c>
      <c r="E47" s="8">
        <v>2</v>
      </c>
      <c r="F47" s="8" t="s">
        <v>1502</v>
      </c>
      <c r="G47" s="10" t="s">
        <v>1537</v>
      </c>
    </row>
    <row r="48" ht="14.25" spans="1:7">
      <c r="A48" s="3" t="s">
        <v>220</v>
      </c>
      <c r="B48" s="4" t="s">
        <v>1508</v>
      </c>
      <c r="C48" s="5">
        <v>44</v>
      </c>
      <c r="D48" s="4" t="s">
        <v>66</v>
      </c>
      <c r="E48" s="4">
        <v>3</v>
      </c>
      <c r="F48" s="4" t="s">
        <v>1502</v>
      </c>
      <c r="G48" s="6" t="s">
        <v>1538</v>
      </c>
    </row>
    <row r="49" ht="14.25" spans="1:7">
      <c r="A49" s="7" t="s">
        <v>220</v>
      </c>
      <c r="B49" s="8" t="s">
        <v>1510</v>
      </c>
      <c r="C49" s="9">
        <v>24</v>
      </c>
      <c r="D49" s="8" t="s">
        <v>1112</v>
      </c>
      <c r="E49" s="8">
        <v>4</v>
      </c>
      <c r="F49" s="8" t="s">
        <v>1502</v>
      </c>
      <c r="G49" s="10" t="s">
        <v>1536</v>
      </c>
    </row>
    <row r="50" ht="14.25" spans="1:7">
      <c r="A50" s="3" t="s">
        <v>220</v>
      </c>
      <c r="B50" s="4" t="s">
        <v>1512</v>
      </c>
      <c r="C50" s="5">
        <v>23</v>
      </c>
      <c r="D50" s="4" t="s">
        <v>1112</v>
      </c>
      <c r="E50" s="4">
        <v>5</v>
      </c>
      <c r="F50" s="4" t="s">
        <v>1502</v>
      </c>
      <c r="G50" s="6" t="s">
        <v>1538</v>
      </c>
    </row>
    <row r="51" ht="14.25" spans="1:7">
      <c r="A51" s="7" t="s">
        <v>220</v>
      </c>
      <c r="B51" s="8" t="s">
        <v>1513</v>
      </c>
      <c r="C51" s="9">
        <v>5</v>
      </c>
      <c r="D51" s="8" t="s">
        <v>1112</v>
      </c>
      <c r="E51" s="8">
        <v>6</v>
      </c>
      <c r="F51" s="8" t="s">
        <v>1502</v>
      </c>
      <c r="G51" s="10" t="s">
        <v>1538</v>
      </c>
    </row>
    <row r="52" ht="14.25" spans="1:7">
      <c r="A52" s="3" t="s">
        <v>220</v>
      </c>
      <c r="B52" s="4" t="s">
        <v>1514</v>
      </c>
      <c r="C52" s="5">
        <v>24</v>
      </c>
      <c r="D52" s="4" t="s">
        <v>1112</v>
      </c>
      <c r="E52" s="4">
        <v>4</v>
      </c>
      <c r="F52" s="4" t="s">
        <v>1502</v>
      </c>
      <c r="G52" s="6" t="s">
        <v>1535</v>
      </c>
    </row>
    <row r="53" ht="14.25" spans="1:7">
      <c r="A53" s="7" t="s">
        <v>244</v>
      </c>
      <c r="B53" s="8" t="s">
        <v>1501</v>
      </c>
      <c r="C53" s="9">
        <v>47</v>
      </c>
      <c r="D53" s="8" t="s">
        <v>66</v>
      </c>
      <c r="E53" s="8">
        <v>2</v>
      </c>
      <c r="F53" s="8" t="s">
        <v>1502</v>
      </c>
      <c r="G53" s="10" t="s">
        <v>1539</v>
      </c>
    </row>
    <row r="54" ht="14.25" spans="1:7">
      <c r="A54" s="3" t="s">
        <v>244</v>
      </c>
      <c r="B54" s="4" t="s">
        <v>1504</v>
      </c>
      <c r="C54" s="5">
        <v>49</v>
      </c>
      <c r="D54" s="4" t="s">
        <v>66</v>
      </c>
      <c r="E54" s="4">
        <v>1</v>
      </c>
      <c r="F54" s="4" t="s">
        <v>1516</v>
      </c>
      <c r="G54" s="6" t="s">
        <v>1540</v>
      </c>
    </row>
    <row r="55" ht="14.25" spans="1:7">
      <c r="A55" s="7" t="s">
        <v>244</v>
      </c>
      <c r="B55" s="8" t="s">
        <v>1506</v>
      </c>
      <c r="C55" s="9">
        <v>38</v>
      </c>
      <c r="D55" s="8" t="s">
        <v>1112</v>
      </c>
      <c r="E55" s="8">
        <v>5</v>
      </c>
      <c r="F55" s="8" t="s">
        <v>1502</v>
      </c>
      <c r="G55" s="10" t="s">
        <v>1541</v>
      </c>
    </row>
    <row r="56" ht="14.25" spans="1:7">
      <c r="A56" s="3" t="s">
        <v>244</v>
      </c>
      <c r="B56" s="4" t="s">
        <v>1508</v>
      </c>
      <c r="C56" s="5">
        <v>45</v>
      </c>
      <c r="D56" s="4" t="s">
        <v>66</v>
      </c>
      <c r="E56" s="4">
        <v>3</v>
      </c>
      <c r="F56" s="4" t="s">
        <v>1502</v>
      </c>
      <c r="G56" s="6" t="s">
        <v>1542</v>
      </c>
    </row>
    <row r="57" ht="14.25" spans="1:7">
      <c r="A57" s="7" t="s">
        <v>244</v>
      </c>
      <c r="B57" s="8" t="s">
        <v>1510</v>
      </c>
      <c r="C57" s="9">
        <v>40</v>
      </c>
      <c r="D57" s="8" t="s">
        <v>66</v>
      </c>
      <c r="E57" s="8">
        <v>4</v>
      </c>
      <c r="F57" s="8" t="s">
        <v>1502</v>
      </c>
      <c r="G57" s="10" t="s">
        <v>1541</v>
      </c>
    </row>
    <row r="58" ht="14.25" spans="1:7">
      <c r="A58" s="3" t="s">
        <v>244</v>
      </c>
      <c r="B58" s="4" t="s">
        <v>1512</v>
      </c>
      <c r="C58" s="5">
        <v>40</v>
      </c>
      <c r="D58" s="4" t="s">
        <v>66</v>
      </c>
      <c r="E58" s="4">
        <v>4</v>
      </c>
      <c r="F58" s="4" t="s">
        <v>1502</v>
      </c>
      <c r="G58" s="6" t="s">
        <v>1543</v>
      </c>
    </row>
    <row r="59" ht="14.25" spans="1:7">
      <c r="A59" s="7" t="s">
        <v>244</v>
      </c>
      <c r="B59" s="8" t="s">
        <v>1513</v>
      </c>
      <c r="C59" s="9">
        <v>40</v>
      </c>
      <c r="D59" s="8" t="s">
        <v>66</v>
      </c>
      <c r="E59" s="8">
        <v>4</v>
      </c>
      <c r="F59" s="8" t="s">
        <v>1502</v>
      </c>
      <c r="G59" s="10" t="s">
        <v>1544</v>
      </c>
    </row>
    <row r="60" ht="14.25" spans="1:7">
      <c r="A60" s="3" t="s">
        <v>244</v>
      </c>
      <c r="B60" s="4" t="s">
        <v>1514</v>
      </c>
      <c r="C60" s="5">
        <v>35</v>
      </c>
      <c r="D60" s="4" t="s">
        <v>1112</v>
      </c>
      <c r="E60" s="4">
        <v>6</v>
      </c>
      <c r="F60" s="4" t="s">
        <v>1502</v>
      </c>
      <c r="G60" s="6" t="s">
        <v>1542</v>
      </c>
    </row>
    <row r="61" ht="14.25" spans="1:7">
      <c r="A61" s="7" t="s">
        <v>244</v>
      </c>
      <c r="B61" s="8" t="s">
        <v>1515</v>
      </c>
      <c r="C61" s="9">
        <v>33</v>
      </c>
      <c r="D61" s="8" t="s">
        <v>1112</v>
      </c>
      <c r="E61" s="8">
        <v>7</v>
      </c>
      <c r="F61" s="8" t="s">
        <v>1502</v>
      </c>
      <c r="G61" s="10" t="s">
        <v>1541</v>
      </c>
    </row>
    <row r="62" ht="14.25" spans="1:7">
      <c r="A62" s="3" t="s">
        <v>244</v>
      </c>
      <c r="B62" s="4" t="s">
        <v>1518</v>
      </c>
      <c r="C62" s="5">
        <v>28</v>
      </c>
      <c r="D62" s="4" t="s">
        <v>1112</v>
      </c>
      <c r="E62" s="4">
        <v>8</v>
      </c>
      <c r="F62" s="4" t="s">
        <v>1502</v>
      </c>
      <c r="G62" s="6" t="s">
        <v>1540</v>
      </c>
    </row>
    <row r="63" ht="14.25" spans="1:7">
      <c r="A63" s="7" t="s">
        <v>276</v>
      </c>
      <c r="B63" s="8" t="s">
        <v>1501</v>
      </c>
      <c r="C63" s="9">
        <v>95</v>
      </c>
      <c r="D63" s="8" t="s">
        <v>98</v>
      </c>
      <c r="E63" s="8">
        <v>1</v>
      </c>
      <c r="F63" s="8" t="s">
        <v>1516</v>
      </c>
      <c r="G63" s="10" t="s">
        <v>1545</v>
      </c>
    </row>
    <row r="64" ht="14.25" spans="1:7">
      <c r="A64" s="3" t="s">
        <v>276</v>
      </c>
      <c r="B64" s="4" t="s">
        <v>1504</v>
      </c>
      <c r="C64" s="5">
        <v>94</v>
      </c>
      <c r="D64" s="4" t="s">
        <v>235</v>
      </c>
      <c r="E64" s="4">
        <v>2</v>
      </c>
      <c r="F64" s="4" t="s">
        <v>1502</v>
      </c>
      <c r="G64" s="6" t="s">
        <v>1546</v>
      </c>
    </row>
    <row r="65" ht="14.25" spans="1:7">
      <c r="A65" s="7" t="s">
        <v>276</v>
      </c>
      <c r="B65" s="8" t="s">
        <v>1506</v>
      </c>
      <c r="C65" s="9">
        <v>14</v>
      </c>
      <c r="D65" s="8" t="s">
        <v>1112</v>
      </c>
      <c r="E65" s="8">
        <v>3</v>
      </c>
      <c r="F65" s="8" t="s">
        <v>1502</v>
      </c>
      <c r="G65" s="10" t="s">
        <v>1547</v>
      </c>
    </row>
    <row r="66" ht="14.25" spans="1:7">
      <c r="A66" s="3" t="s">
        <v>302</v>
      </c>
      <c r="B66" s="4" t="s">
        <v>1501</v>
      </c>
      <c r="C66" s="5">
        <v>95</v>
      </c>
      <c r="D66" s="4" t="s">
        <v>98</v>
      </c>
      <c r="E66" s="4">
        <v>1</v>
      </c>
      <c r="F66" s="4" t="s">
        <v>1516</v>
      </c>
      <c r="G66" s="6" t="s">
        <v>1548</v>
      </c>
    </row>
    <row r="67" ht="14.25" spans="1:7">
      <c r="A67" s="7" t="s">
        <v>302</v>
      </c>
      <c r="B67" s="8" t="s">
        <v>1504</v>
      </c>
      <c r="C67" s="9">
        <v>95</v>
      </c>
      <c r="D67" s="8" t="s">
        <v>98</v>
      </c>
      <c r="E67" s="8">
        <v>1</v>
      </c>
      <c r="F67" s="8" t="s">
        <v>1516</v>
      </c>
      <c r="G67" s="10" t="s">
        <v>1548</v>
      </c>
    </row>
    <row r="68" ht="14.25" spans="1:7">
      <c r="A68" s="3" t="s">
        <v>302</v>
      </c>
      <c r="B68" s="4" t="s">
        <v>1506</v>
      </c>
      <c r="C68" s="5">
        <v>45</v>
      </c>
      <c r="D68" s="4" t="s">
        <v>66</v>
      </c>
      <c r="E68" s="4">
        <v>5</v>
      </c>
      <c r="F68" s="4" t="s">
        <v>1502</v>
      </c>
      <c r="G68" s="6" t="s">
        <v>1549</v>
      </c>
    </row>
    <row r="69" ht="14.25" spans="1:7">
      <c r="A69" s="7" t="s">
        <v>302</v>
      </c>
      <c r="B69" s="8" t="s">
        <v>1508</v>
      </c>
      <c r="C69" s="9">
        <v>62</v>
      </c>
      <c r="D69" s="8" t="s">
        <v>758</v>
      </c>
      <c r="E69" s="8">
        <v>2</v>
      </c>
      <c r="F69" s="8" t="s">
        <v>1502</v>
      </c>
      <c r="G69" s="10" t="s">
        <v>1550</v>
      </c>
    </row>
    <row r="70" ht="14.25" spans="1:7">
      <c r="A70" s="3" t="s">
        <v>302</v>
      </c>
      <c r="B70" s="4" t="s">
        <v>1510</v>
      </c>
      <c r="C70" s="5">
        <v>53</v>
      </c>
      <c r="D70" s="4" t="s">
        <v>66</v>
      </c>
      <c r="E70" s="4">
        <v>3</v>
      </c>
      <c r="F70" s="4" t="s">
        <v>1502</v>
      </c>
      <c r="G70" s="6" t="s">
        <v>1550</v>
      </c>
    </row>
    <row r="71" ht="14.25" spans="1:7">
      <c r="A71" s="7" t="s">
        <v>302</v>
      </c>
      <c r="B71" s="8" t="s">
        <v>1512</v>
      </c>
      <c r="C71" s="9">
        <v>53</v>
      </c>
      <c r="D71" s="8" t="s">
        <v>66</v>
      </c>
      <c r="E71" s="8">
        <v>3</v>
      </c>
      <c r="F71" s="8" t="s">
        <v>1502</v>
      </c>
      <c r="G71" s="10" t="s">
        <v>1550</v>
      </c>
    </row>
    <row r="72" ht="14.25" spans="1:7">
      <c r="A72" s="3" t="s">
        <v>302</v>
      </c>
      <c r="B72" s="4" t="s">
        <v>1513</v>
      </c>
      <c r="C72" s="5">
        <v>62</v>
      </c>
      <c r="D72" s="4" t="s">
        <v>758</v>
      </c>
      <c r="E72" s="4">
        <v>2</v>
      </c>
      <c r="F72" s="4" t="s">
        <v>1502</v>
      </c>
      <c r="G72" s="6" t="s">
        <v>1550</v>
      </c>
    </row>
    <row r="73" ht="14.25" spans="1:7">
      <c r="A73" s="7" t="s">
        <v>302</v>
      </c>
      <c r="B73" s="8" t="s">
        <v>1514</v>
      </c>
      <c r="C73" s="9">
        <v>47</v>
      </c>
      <c r="D73" s="8" t="s">
        <v>66</v>
      </c>
      <c r="E73" s="8">
        <v>4</v>
      </c>
      <c r="F73" s="8" t="s">
        <v>1502</v>
      </c>
      <c r="G73" s="10" t="s">
        <v>1551</v>
      </c>
    </row>
    <row r="74" ht="14.25" spans="1:7">
      <c r="A74" s="3" t="s">
        <v>302</v>
      </c>
      <c r="B74" s="4" t="s">
        <v>1515</v>
      </c>
      <c r="C74" s="5">
        <v>43</v>
      </c>
      <c r="D74" s="4" t="s">
        <v>66</v>
      </c>
      <c r="E74" s="4">
        <v>6</v>
      </c>
      <c r="F74" s="4" t="s">
        <v>1502</v>
      </c>
      <c r="G74" s="6" t="s">
        <v>1551</v>
      </c>
    </row>
    <row r="75" ht="14.25" spans="1:7">
      <c r="A75" s="7" t="s">
        <v>302</v>
      </c>
      <c r="B75" s="8" t="s">
        <v>1518</v>
      </c>
      <c r="C75" s="9">
        <v>47</v>
      </c>
      <c r="D75" s="8" t="s">
        <v>66</v>
      </c>
      <c r="E75" s="8">
        <v>4</v>
      </c>
      <c r="F75" s="8" t="s">
        <v>1502</v>
      </c>
      <c r="G75" s="10" t="s">
        <v>1552</v>
      </c>
    </row>
    <row r="76" ht="14.25" spans="1:7">
      <c r="A76" s="3" t="s">
        <v>327</v>
      </c>
      <c r="B76" s="4" t="s">
        <v>1501</v>
      </c>
      <c r="C76" s="5">
        <v>94</v>
      </c>
      <c r="D76" s="4" t="s">
        <v>235</v>
      </c>
      <c r="E76" s="4">
        <v>1</v>
      </c>
      <c r="F76" s="4" t="s">
        <v>1516</v>
      </c>
      <c r="G76" s="6" t="s">
        <v>1553</v>
      </c>
    </row>
    <row r="77" ht="14.25" spans="1:7">
      <c r="A77" s="7" t="s">
        <v>327</v>
      </c>
      <c r="B77" s="8" t="s">
        <v>1504</v>
      </c>
      <c r="C77" s="9">
        <v>41</v>
      </c>
      <c r="D77" s="8" t="s">
        <v>66</v>
      </c>
      <c r="E77" s="8">
        <v>6</v>
      </c>
      <c r="F77" s="8" t="s">
        <v>1502</v>
      </c>
      <c r="G77" s="10" t="s">
        <v>1553</v>
      </c>
    </row>
    <row r="78" ht="14.25" spans="1:7">
      <c r="A78" s="3" t="s">
        <v>327</v>
      </c>
      <c r="B78" s="4" t="s">
        <v>1506</v>
      </c>
      <c r="C78" s="5">
        <v>45</v>
      </c>
      <c r="D78" s="4" t="s">
        <v>66</v>
      </c>
      <c r="E78" s="4">
        <v>5</v>
      </c>
      <c r="F78" s="4" t="s">
        <v>1502</v>
      </c>
      <c r="G78" s="6" t="s">
        <v>1554</v>
      </c>
    </row>
    <row r="79" ht="14.25" spans="1:7">
      <c r="A79" s="7" t="s">
        <v>327</v>
      </c>
      <c r="B79" s="8" t="s">
        <v>1508</v>
      </c>
      <c r="C79" s="9">
        <v>27</v>
      </c>
      <c r="D79" s="8" t="s">
        <v>1112</v>
      </c>
      <c r="E79" s="8">
        <v>7</v>
      </c>
      <c r="F79" s="8" t="s">
        <v>1502</v>
      </c>
      <c r="G79" s="10" t="s">
        <v>1553</v>
      </c>
    </row>
    <row r="80" ht="14.25" spans="1:7">
      <c r="A80" s="3" t="s">
        <v>327</v>
      </c>
      <c r="B80" s="4" t="s">
        <v>1510</v>
      </c>
      <c r="C80" s="5">
        <v>78</v>
      </c>
      <c r="D80" s="4" t="s">
        <v>758</v>
      </c>
      <c r="E80" s="4">
        <v>2</v>
      </c>
      <c r="F80" s="4" t="s">
        <v>1502</v>
      </c>
      <c r="G80" s="6" t="s">
        <v>1554</v>
      </c>
    </row>
    <row r="81" ht="14.25" spans="1:7">
      <c r="A81" s="7" t="s">
        <v>327</v>
      </c>
      <c r="B81" s="8" t="s">
        <v>1512</v>
      </c>
      <c r="C81" s="9">
        <v>27</v>
      </c>
      <c r="D81" s="8" t="s">
        <v>1112</v>
      </c>
      <c r="E81" s="8">
        <v>7</v>
      </c>
      <c r="F81" s="8" t="s">
        <v>1502</v>
      </c>
      <c r="G81" s="10" t="s">
        <v>1553</v>
      </c>
    </row>
    <row r="82" ht="14.25" spans="1:7">
      <c r="A82" s="3" t="s">
        <v>327</v>
      </c>
      <c r="B82" s="4" t="s">
        <v>1513</v>
      </c>
      <c r="C82" s="5">
        <v>26</v>
      </c>
      <c r="D82" s="4" t="s">
        <v>1112</v>
      </c>
      <c r="E82" s="4">
        <v>8</v>
      </c>
      <c r="F82" s="4" t="s">
        <v>1502</v>
      </c>
      <c r="G82" s="6" t="s">
        <v>1553</v>
      </c>
    </row>
    <row r="83" ht="14.25" spans="1:7">
      <c r="A83" s="7" t="s">
        <v>327</v>
      </c>
      <c r="B83" s="8" t="s">
        <v>1514</v>
      </c>
      <c r="C83" s="9">
        <v>51</v>
      </c>
      <c r="D83" s="8" t="s">
        <v>66</v>
      </c>
      <c r="E83" s="8">
        <v>3</v>
      </c>
      <c r="F83" s="8" t="s">
        <v>1502</v>
      </c>
      <c r="G83" s="10" t="s">
        <v>1554</v>
      </c>
    </row>
    <row r="84" ht="14.25" spans="1:7">
      <c r="A84" s="3" t="s">
        <v>327</v>
      </c>
      <c r="B84" s="4" t="s">
        <v>1515</v>
      </c>
      <c r="C84" s="5">
        <v>19</v>
      </c>
      <c r="D84" s="4" t="s">
        <v>1112</v>
      </c>
      <c r="E84" s="4">
        <v>9</v>
      </c>
      <c r="F84" s="4" t="s">
        <v>1502</v>
      </c>
      <c r="G84" s="6" t="s">
        <v>1554</v>
      </c>
    </row>
    <row r="85" ht="14.25" spans="1:7">
      <c r="A85" s="7" t="s">
        <v>327</v>
      </c>
      <c r="B85" s="8" t="s">
        <v>1518</v>
      </c>
      <c r="C85" s="9">
        <v>47</v>
      </c>
      <c r="D85" s="8" t="s">
        <v>66</v>
      </c>
      <c r="E85" s="8">
        <v>4</v>
      </c>
      <c r="F85" s="8" t="s">
        <v>1502</v>
      </c>
      <c r="G85" s="10" t="s">
        <v>1555</v>
      </c>
    </row>
    <row r="86" ht="14.25" spans="1:7">
      <c r="A86" s="3" t="s">
        <v>353</v>
      </c>
      <c r="B86" s="4" t="s">
        <v>1501</v>
      </c>
      <c r="C86" s="5">
        <v>95</v>
      </c>
      <c r="D86" s="4" t="s">
        <v>98</v>
      </c>
      <c r="E86" s="4">
        <v>1</v>
      </c>
      <c r="F86" s="4" t="s">
        <v>1516</v>
      </c>
      <c r="G86" s="6" t="s">
        <v>1556</v>
      </c>
    </row>
    <row r="87" ht="14.25" spans="1:7">
      <c r="A87" s="7" t="s">
        <v>353</v>
      </c>
      <c r="B87" s="8" t="s">
        <v>1504</v>
      </c>
      <c r="C87" s="9">
        <v>62</v>
      </c>
      <c r="D87" s="8" t="s">
        <v>758</v>
      </c>
      <c r="E87" s="8">
        <v>2</v>
      </c>
      <c r="F87" s="8" t="s">
        <v>1502</v>
      </c>
      <c r="G87" s="10" t="s">
        <v>1556</v>
      </c>
    </row>
    <row r="88" ht="14.25" spans="1:7">
      <c r="A88" s="3" t="s">
        <v>387</v>
      </c>
      <c r="B88" s="4" t="s">
        <v>1501</v>
      </c>
      <c r="C88" s="5">
        <v>95</v>
      </c>
      <c r="D88" s="4" t="s">
        <v>98</v>
      </c>
      <c r="E88" s="4">
        <v>1</v>
      </c>
      <c r="F88" s="4" t="s">
        <v>1516</v>
      </c>
      <c r="G88" s="6" t="s">
        <v>1557</v>
      </c>
    </row>
    <row r="89" ht="14.25" spans="1:7">
      <c r="A89" s="7" t="s">
        <v>387</v>
      </c>
      <c r="B89" s="8" t="s">
        <v>1504</v>
      </c>
      <c r="C89" s="9">
        <v>95</v>
      </c>
      <c r="D89" s="8" t="s">
        <v>98</v>
      </c>
      <c r="E89" s="8">
        <v>1</v>
      </c>
      <c r="F89" s="8" t="s">
        <v>1516</v>
      </c>
      <c r="G89" s="10" t="s">
        <v>1557</v>
      </c>
    </row>
    <row r="90" ht="14.25" spans="1:7">
      <c r="A90" s="3" t="s">
        <v>387</v>
      </c>
      <c r="B90" s="4" t="s">
        <v>1506</v>
      </c>
      <c r="C90" s="5">
        <v>42</v>
      </c>
      <c r="D90" s="4" t="s">
        <v>66</v>
      </c>
      <c r="E90" s="4">
        <v>4</v>
      </c>
      <c r="F90" s="4" t="s">
        <v>1502</v>
      </c>
      <c r="G90" s="6" t="s">
        <v>1558</v>
      </c>
    </row>
    <row r="91" ht="14.25" spans="1:7">
      <c r="A91" s="7" t="s">
        <v>387</v>
      </c>
      <c r="B91" s="8" t="s">
        <v>1508</v>
      </c>
      <c r="C91" s="9">
        <v>43</v>
      </c>
      <c r="D91" s="8" t="s">
        <v>66</v>
      </c>
      <c r="E91" s="8">
        <v>3</v>
      </c>
      <c r="F91" s="8" t="s">
        <v>1502</v>
      </c>
      <c r="G91" s="10" t="s">
        <v>1559</v>
      </c>
    </row>
    <row r="92" ht="14.25" spans="1:7">
      <c r="A92" s="3" t="s">
        <v>387</v>
      </c>
      <c r="B92" s="4" t="s">
        <v>1510</v>
      </c>
      <c r="C92" s="5">
        <v>43</v>
      </c>
      <c r="D92" s="4" t="s">
        <v>66</v>
      </c>
      <c r="E92" s="4">
        <v>3</v>
      </c>
      <c r="F92" s="4" t="s">
        <v>1502</v>
      </c>
      <c r="G92" s="6" t="s">
        <v>1560</v>
      </c>
    </row>
    <row r="93" ht="14.25" spans="1:7">
      <c r="A93" s="7" t="s">
        <v>387</v>
      </c>
      <c r="B93" s="8" t="s">
        <v>1512</v>
      </c>
      <c r="C93" s="9">
        <v>43</v>
      </c>
      <c r="D93" s="8" t="s">
        <v>66</v>
      </c>
      <c r="E93" s="8">
        <v>3</v>
      </c>
      <c r="F93" s="8" t="s">
        <v>1502</v>
      </c>
      <c r="G93" s="10" t="s">
        <v>1560</v>
      </c>
    </row>
    <row r="94" ht="14.25" spans="1:7">
      <c r="A94" s="3" t="s">
        <v>387</v>
      </c>
      <c r="B94" s="4" t="s">
        <v>1513</v>
      </c>
      <c r="C94" s="5">
        <v>53</v>
      </c>
      <c r="D94" s="4" t="s">
        <v>66</v>
      </c>
      <c r="E94" s="4">
        <v>2</v>
      </c>
      <c r="F94" s="4" t="s">
        <v>1502</v>
      </c>
      <c r="G94" s="6" t="s">
        <v>1557</v>
      </c>
    </row>
    <row r="95" ht="14.25" spans="1:7">
      <c r="A95" s="7" t="s">
        <v>387</v>
      </c>
      <c r="B95" s="8" t="s">
        <v>1514</v>
      </c>
      <c r="C95" s="9">
        <v>53</v>
      </c>
      <c r="D95" s="8" t="s">
        <v>66</v>
      </c>
      <c r="E95" s="8">
        <v>2</v>
      </c>
      <c r="F95" s="8" t="s">
        <v>1502</v>
      </c>
      <c r="G95" s="10" t="s">
        <v>1559</v>
      </c>
    </row>
    <row r="96" ht="14.25" spans="1:7">
      <c r="A96" s="3" t="s">
        <v>387</v>
      </c>
      <c r="B96" s="4" t="s">
        <v>1515</v>
      </c>
      <c r="C96" s="5">
        <v>53</v>
      </c>
      <c r="D96" s="4" t="s">
        <v>66</v>
      </c>
      <c r="E96" s="4">
        <v>2</v>
      </c>
      <c r="F96" s="4" t="s">
        <v>1502</v>
      </c>
      <c r="G96" s="6" t="s">
        <v>1561</v>
      </c>
    </row>
    <row r="97" ht="14.25" spans="1:7">
      <c r="A97" s="7" t="s">
        <v>387</v>
      </c>
      <c r="B97" s="8" t="s">
        <v>1518</v>
      </c>
      <c r="C97" s="9">
        <v>53</v>
      </c>
      <c r="D97" s="8" t="s">
        <v>66</v>
      </c>
      <c r="E97" s="8">
        <v>2</v>
      </c>
      <c r="F97" s="8" t="s">
        <v>1502</v>
      </c>
      <c r="G97" s="10" t="s">
        <v>1557</v>
      </c>
    </row>
    <row r="98" ht="14.25" spans="1:7">
      <c r="A98" s="3" t="s">
        <v>414</v>
      </c>
      <c r="B98" s="4" t="s">
        <v>1501</v>
      </c>
      <c r="C98" s="5">
        <v>99</v>
      </c>
      <c r="D98" s="4" t="s">
        <v>98</v>
      </c>
      <c r="E98" s="4">
        <v>1</v>
      </c>
      <c r="F98" s="4" t="s">
        <v>1516</v>
      </c>
      <c r="G98" s="6" t="s">
        <v>1562</v>
      </c>
    </row>
    <row r="99" ht="14.25" spans="1:7">
      <c r="A99" s="7" t="s">
        <v>414</v>
      </c>
      <c r="B99" s="8" t="s">
        <v>1504</v>
      </c>
      <c r="C99" s="9">
        <v>99</v>
      </c>
      <c r="D99" s="8" t="s">
        <v>98</v>
      </c>
      <c r="E99" s="8">
        <v>1</v>
      </c>
      <c r="F99" s="8" t="s">
        <v>1516</v>
      </c>
      <c r="G99" s="10" t="s">
        <v>1563</v>
      </c>
    </row>
    <row r="100" ht="14.25" spans="1:7">
      <c r="A100" s="3" t="s">
        <v>440</v>
      </c>
      <c r="B100" s="4" t="s">
        <v>1501</v>
      </c>
      <c r="C100" s="5">
        <v>99</v>
      </c>
      <c r="D100" s="4" t="s">
        <v>98</v>
      </c>
      <c r="E100" s="4">
        <v>1</v>
      </c>
      <c r="F100" s="4" t="s">
        <v>1516</v>
      </c>
      <c r="G100" s="6" t="s">
        <v>1564</v>
      </c>
    </row>
    <row r="101" ht="14.25" spans="1:7">
      <c r="A101" s="7" t="s">
        <v>440</v>
      </c>
      <c r="B101" s="8" t="s">
        <v>1504</v>
      </c>
      <c r="C101" s="9">
        <v>94</v>
      </c>
      <c r="D101" s="8" t="s">
        <v>235</v>
      </c>
      <c r="E101" s="8">
        <v>2</v>
      </c>
      <c r="F101" s="8" t="s">
        <v>1502</v>
      </c>
      <c r="G101" s="10" t="s">
        <v>1565</v>
      </c>
    </row>
    <row r="102" ht="14.25" spans="1:7">
      <c r="A102" s="3" t="s">
        <v>440</v>
      </c>
      <c r="B102" s="4" t="s">
        <v>1506</v>
      </c>
      <c r="C102" s="5">
        <v>14</v>
      </c>
      <c r="D102" s="4" t="s">
        <v>1112</v>
      </c>
      <c r="E102" s="4">
        <v>3</v>
      </c>
      <c r="F102" s="4" t="s">
        <v>1502</v>
      </c>
      <c r="G102" s="6" t="s">
        <v>1564</v>
      </c>
    </row>
    <row r="103" ht="14.25" spans="1:7">
      <c r="A103" s="7" t="s">
        <v>466</v>
      </c>
      <c r="B103" s="8" t="s">
        <v>1501</v>
      </c>
      <c r="C103" s="9">
        <v>57</v>
      </c>
      <c r="D103" s="8" t="s">
        <v>66</v>
      </c>
      <c r="E103" s="8">
        <v>4</v>
      </c>
      <c r="F103" s="8" t="s">
        <v>1502</v>
      </c>
      <c r="G103" s="10" t="s">
        <v>1566</v>
      </c>
    </row>
    <row r="104" ht="14.25" spans="1:7">
      <c r="A104" s="3" t="s">
        <v>466</v>
      </c>
      <c r="B104" s="4" t="s">
        <v>1504</v>
      </c>
      <c r="C104" s="5">
        <v>57</v>
      </c>
      <c r="D104" s="4" t="s">
        <v>66</v>
      </c>
      <c r="E104" s="4">
        <v>4</v>
      </c>
      <c r="F104" s="4" t="s">
        <v>1502</v>
      </c>
      <c r="G104" s="6" t="s">
        <v>1567</v>
      </c>
    </row>
    <row r="105" ht="14.25" spans="1:7">
      <c r="A105" s="7" t="s">
        <v>466</v>
      </c>
      <c r="B105" s="8" t="s">
        <v>1506</v>
      </c>
      <c r="C105" s="9">
        <v>58</v>
      </c>
      <c r="D105" s="8" t="s">
        <v>66</v>
      </c>
      <c r="E105" s="8">
        <v>3</v>
      </c>
      <c r="F105" s="8" t="s">
        <v>1502</v>
      </c>
      <c r="G105" s="10" t="s">
        <v>1567</v>
      </c>
    </row>
    <row r="106" ht="14.25" spans="1:7">
      <c r="A106" s="3" t="s">
        <v>466</v>
      </c>
      <c r="B106" s="4" t="s">
        <v>1508</v>
      </c>
      <c r="C106" s="5">
        <v>52</v>
      </c>
      <c r="D106" s="4" t="s">
        <v>66</v>
      </c>
      <c r="E106" s="4">
        <v>5</v>
      </c>
      <c r="F106" s="4" t="s">
        <v>1502</v>
      </c>
      <c r="G106" s="6" t="s">
        <v>1566</v>
      </c>
    </row>
    <row r="107" ht="14.25" spans="1:7">
      <c r="A107" s="7" t="s">
        <v>466</v>
      </c>
      <c r="B107" s="8" t="s">
        <v>1510</v>
      </c>
      <c r="C107" s="9">
        <v>46</v>
      </c>
      <c r="D107" s="8" t="s">
        <v>66</v>
      </c>
      <c r="E107" s="8">
        <v>6</v>
      </c>
      <c r="F107" s="8" t="s">
        <v>1502</v>
      </c>
      <c r="G107" s="10" t="s">
        <v>1566</v>
      </c>
    </row>
    <row r="108" ht="14.25" spans="1:7">
      <c r="A108" s="3" t="s">
        <v>466</v>
      </c>
      <c r="B108" s="4" t="s">
        <v>1512</v>
      </c>
      <c r="C108" s="5">
        <v>52</v>
      </c>
      <c r="D108" s="4" t="s">
        <v>66</v>
      </c>
      <c r="E108" s="4">
        <v>5</v>
      </c>
      <c r="F108" s="4" t="s">
        <v>1502</v>
      </c>
      <c r="G108" s="6" t="s">
        <v>1568</v>
      </c>
    </row>
    <row r="109" ht="14.25" spans="1:7">
      <c r="A109" s="7" t="s">
        <v>466</v>
      </c>
      <c r="B109" s="8" t="s">
        <v>1513</v>
      </c>
      <c r="C109" s="9">
        <v>61</v>
      </c>
      <c r="D109" s="8" t="s">
        <v>758</v>
      </c>
      <c r="E109" s="8">
        <v>1</v>
      </c>
      <c r="F109" s="8" t="s">
        <v>1516</v>
      </c>
      <c r="G109" s="10" t="s">
        <v>1566</v>
      </c>
    </row>
    <row r="110" ht="14.25" spans="1:7">
      <c r="A110" s="3" t="s">
        <v>466</v>
      </c>
      <c r="B110" s="4" t="s">
        <v>1514</v>
      </c>
      <c r="C110" s="5">
        <v>59</v>
      </c>
      <c r="D110" s="4" t="s">
        <v>66</v>
      </c>
      <c r="E110" s="4">
        <v>2</v>
      </c>
      <c r="F110" s="4" t="s">
        <v>1502</v>
      </c>
      <c r="G110" s="6" t="s">
        <v>1566</v>
      </c>
    </row>
    <row r="111" ht="14.25" spans="1:7">
      <c r="A111" s="7" t="s">
        <v>466</v>
      </c>
      <c r="B111" s="8" t="s">
        <v>1515</v>
      </c>
      <c r="C111" s="9">
        <v>59</v>
      </c>
      <c r="D111" s="8" t="s">
        <v>66</v>
      </c>
      <c r="E111" s="8">
        <v>2</v>
      </c>
      <c r="F111" s="8" t="s">
        <v>1502</v>
      </c>
      <c r="G111" s="10" t="s">
        <v>1569</v>
      </c>
    </row>
    <row r="112" ht="14.25" spans="1:7">
      <c r="A112" s="3" t="s">
        <v>466</v>
      </c>
      <c r="B112" s="4" t="s">
        <v>1518</v>
      </c>
      <c r="C112" s="5">
        <v>59</v>
      </c>
      <c r="D112" s="4" t="s">
        <v>66</v>
      </c>
      <c r="E112" s="4">
        <v>2</v>
      </c>
      <c r="F112" s="4" t="s">
        <v>1502</v>
      </c>
      <c r="G112" s="6" t="s">
        <v>1569</v>
      </c>
    </row>
    <row r="113" ht="14.25" spans="1:7">
      <c r="A113" s="7" t="s">
        <v>500</v>
      </c>
      <c r="B113" s="8" t="s">
        <v>1501</v>
      </c>
      <c r="C113" s="9">
        <v>95</v>
      </c>
      <c r="D113" s="8" t="s">
        <v>98</v>
      </c>
      <c r="E113" s="8">
        <v>1</v>
      </c>
      <c r="F113" s="8" t="s">
        <v>1516</v>
      </c>
      <c r="G113" s="10" t="s">
        <v>1570</v>
      </c>
    </row>
    <row r="114" ht="14.25" spans="1:7">
      <c r="A114" s="3" t="s">
        <v>500</v>
      </c>
      <c r="B114" s="4" t="s">
        <v>1504</v>
      </c>
      <c r="C114" s="5">
        <v>57</v>
      </c>
      <c r="D114" s="4" t="s">
        <v>66</v>
      </c>
      <c r="E114" s="4">
        <v>3</v>
      </c>
      <c r="F114" s="4" t="s">
        <v>1502</v>
      </c>
      <c r="G114" s="6" t="s">
        <v>1571</v>
      </c>
    </row>
    <row r="115" ht="14.25" spans="1:7">
      <c r="A115" s="7" t="s">
        <v>500</v>
      </c>
      <c r="B115" s="8" t="s">
        <v>1506</v>
      </c>
      <c r="C115" s="9">
        <v>94</v>
      </c>
      <c r="D115" s="8" t="s">
        <v>235</v>
      </c>
      <c r="E115" s="8">
        <v>2</v>
      </c>
      <c r="F115" s="8" t="s">
        <v>1502</v>
      </c>
      <c r="G115" s="10" t="s">
        <v>1571</v>
      </c>
    </row>
    <row r="116" ht="14.25" spans="1:7">
      <c r="A116" s="3" t="s">
        <v>500</v>
      </c>
      <c r="B116" s="4" t="s">
        <v>1508</v>
      </c>
      <c r="C116" s="5">
        <v>57</v>
      </c>
      <c r="D116" s="4" t="s">
        <v>66</v>
      </c>
      <c r="E116" s="4">
        <v>3</v>
      </c>
      <c r="F116" s="4" t="s">
        <v>1502</v>
      </c>
      <c r="G116" s="6" t="s">
        <v>1571</v>
      </c>
    </row>
    <row r="117" ht="14.25" spans="1:7">
      <c r="A117" s="7" t="s">
        <v>500</v>
      </c>
      <c r="B117" s="8" t="s">
        <v>1510</v>
      </c>
      <c r="C117" s="9">
        <v>57</v>
      </c>
      <c r="D117" s="8" t="s">
        <v>66</v>
      </c>
      <c r="E117" s="8">
        <v>3</v>
      </c>
      <c r="F117" s="8" t="s">
        <v>1502</v>
      </c>
      <c r="G117" s="10" t="s">
        <v>1571</v>
      </c>
    </row>
    <row r="118" ht="14.25" spans="1:7">
      <c r="A118" s="3" t="s">
        <v>500</v>
      </c>
      <c r="B118" s="4" t="s">
        <v>1512</v>
      </c>
      <c r="C118" s="5">
        <v>33</v>
      </c>
      <c r="D118" s="4" t="s">
        <v>1112</v>
      </c>
      <c r="E118" s="4">
        <v>4</v>
      </c>
      <c r="F118" s="4" t="s">
        <v>1502</v>
      </c>
      <c r="G118" s="6" t="s">
        <v>1572</v>
      </c>
    </row>
    <row r="119" ht="14.25" spans="1:7">
      <c r="A119" s="7" t="s">
        <v>500</v>
      </c>
      <c r="B119" s="8" t="s">
        <v>1513</v>
      </c>
      <c r="C119" s="9">
        <v>33</v>
      </c>
      <c r="D119" s="8" t="s">
        <v>1112</v>
      </c>
      <c r="E119" s="8">
        <v>4</v>
      </c>
      <c r="F119" s="8" t="s">
        <v>1502</v>
      </c>
      <c r="G119" s="10" t="s">
        <v>1572</v>
      </c>
    </row>
    <row r="120" ht="14.25" spans="1:7">
      <c r="A120" s="3" t="s">
        <v>500</v>
      </c>
      <c r="B120" s="4" t="s">
        <v>1514</v>
      </c>
      <c r="C120" s="5">
        <v>6</v>
      </c>
      <c r="D120" s="4" t="s">
        <v>1112</v>
      </c>
      <c r="E120" s="4">
        <v>5</v>
      </c>
      <c r="F120" s="4" t="s">
        <v>1502</v>
      </c>
      <c r="G120" s="6" t="s">
        <v>1572</v>
      </c>
    </row>
    <row r="121" ht="14.25" spans="1:7">
      <c r="A121" s="7" t="s">
        <v>525</v>
      </c>
      <c r="B121" s="8" t="s">
        <v>1501</v>
      </c>
      <c r="C121" s="9">
        <v>95</v>
      </c>
      <c r="D121" s="8" t="s">
        <v>98</v>
      </c>
      <c r="E121" s="8">
        <v>1</v>
      </c>
      <c r="F121" s="8" t="s">
        <v>1516</v>
      </c>
      <c r="G121" s="10" t="s">
        <v>1573</v>
      </c>
    </row>
    <row r="122" ht="14.25" spans="1:7">
      <c r="A122" s="3" t="s">
        <v>525</v>
      </c>
      <c r="B122" s="4" t="s">
        <v>1504</v>
      </c>
      <c r="C122" s="5">
        <v>64</v>
      </c>
      <c r="D122" s="4" t="s">
        <v>758</v>
      </c>
      <c r="E122" s="4">
        <v>2</v>
      </c>
      <c r="F122" s="4" t="s">
        <v>1502</v>
      </c>
      <c r="G122" s="6" t="s">
        <v>1574</v>
      </c>
    </row>
    <row r="123" ht="14.25" spans="1:7">
      <c r="A123" s="7" t="s">
        <v>525</v>
      </c>
      <c r="B123" s="8" t="s">
        <v>1506</v>
      </c>
      <c r="C123" s="9">
        <v>14</v>
      </c>
      <c r="D123" s="8" t="s">
        <v>1112</v>
      </c>
      <c r="E123" s="8">
        <v>3</v>
      </c>
      <c r="F123" s="8" t="s">
        <v>1502</v>
      </c>
      <c r="G123" s="10" t="s">
        <v>1575</v>
      </c>
    </row>
    <row r="124" ht="14.25" spans="1:7">
      <c r="A124" s="3" t="s">
        <v>549</v>
      </c>
      <c r="B124" s="4" t="s">
        <v>1501</v>
      </c>
      <c r="C124" s="5">
        <v>48</v>
      </c>
      <c r="D124" s="4" t="s">
        <v>66</v>
      </c>
      <c r="E124" s="4">
        <v>1</v>
      </c>
      <c r="F124" s="4" t="s">
        <v>1516</v>
      </c>
      <c r="G124" s="6" t="s">
        <v>1576</v>
      </c>
    </row>
    <row r="125" ht="14.25" spans="1:7">
      <c r="A125" s="7" t="s">
        <v>549</v>
      </c>
      <c r="B125" s="8" t="s">
        <v>1504</v>
      </c>
      <c r="C125" s="9">
        <v>48</v>
      </c>
      <c r="D125" s="8" t="s">
        <v>66</v>
      </c>
      <c r="E125" s="8">
        <v>1</v>
      </c>
      <c r="F125" s="8" t="s">
        <v>1516</v>
      </c>
      <c r="G125" s="10" t="s">
        <v>1576</v>
      </c>
    </row>
    <row r="126" ht="14.25" spans="1:7">
      <c r="A126" s="3" t="s">
        <v>549</v>
      </c>
      <c r="B126" s="4" t="s">
        <v>1506</v>
      </c>
      <c r="C126" s="5">
        <v>48</v>
      </c>
      <c r="D126" s="4" t="s">
        <v>66</v>
      </c>
      <c r="E126" s="4">
        <v>1</v>
      </c>
      <c r="F126" s="4" t="s">
        <v>1516</v>
      </c>
      <c r="G126" s="6" t="s">
        <v>1577</v>
      </c>
    </row>
    <row r="127" ht="14.25" spans="1:7">
      <c r="A127" s="7" t="s">
        <v>549</v>
      </c>
      <c r="B127" s="8" t="s">
        <v>1508</v>
      </c>
      <c r="C127" s="9">
        <v>36</v>
      </c>
      <c r="D127" s="8" t="s">
        <v>1112</v>
      </c>
      <c r="E127" s="8">
        <v>5</v>
      </c>
      <c r="F127" s="8" t="s">
        <v>1502</v>
      </c>
      <c r="G127" s="10" t="s">
        <v>1576</v>
      </c>
    </row>
    <row r="128" ht="14.25" spans="1:7">
      <c r="A128" s="3" t="s">
        <v>549</v>
      </c>
      <c r="B128" s="4" t="s">
        <v>1510</v>
      </c>
      <c r="C128" s="5">
        <v>40</v>
      </c>
      <c r="D128" s="4" t="s">
        <v>66</v>
      </c>
      <c r="E128" s="4">
        <v>3</v>
      </c>
      <c r="F128" s="4" t="s">
        <v>1502</v>
      </c>
      <c r="G128" s="6" t="s">
        <v>1576</v>
      </c>
    </row>
    <row r="129" ht="14.25" spans="1:7">
      <c r="A129" s="7" t="s">
        <v>549</v>
      </c>
      <c r="B129" s="8" t="s">
        <v>1512</v>
      </c>
      <c r="C129" s="9">
        <v>42</v>
      </c>
      <c r="D129" s="8" t="s">
        <v>66</v>
      </c>
      <c r="E129" s="8">
        <v>2</v>
      </c>
      <c r="F129" s="8" t="s">
        <v>1502</v>
      </c>
      <c r="G129" s="10" t="s">
        <v>1576</v>
      </c>
    </row>
    <row r="130" ht="14.25" spans="1:7">
      <c r="A130" s="3" t="s">
        <v>549</v>
      </c>
      <c r="B130" s="4" t="s">
        <v>1513</v>
      </c>
      <c r="C130" s="5">
        <v>39</v>
      </c>
      <c r="D130" s="4" t="s">
        <v>1112</v>
      </c>
      <c r="E130" s="4">
        <v>4</v>
      </c>
      <c r="F130" s="4" t="s">
        <v>1502</v>
      </c>
      <c r="G130" s="6" t="s">
        <v>1578</v>
      </c>
    </row>
    <row r="131" ht="14.25" spans="1:7">
      <c r="A131" s="7" t="s">
        <v>549</v>
      </c>
      <c r="B131" s="8" t="s">
        <v>1514</v>
      </c>
      <c r="C131" s="9">
        <v>42</v>
      </c>
      <c r="D131" s="8" t="s">
        <v>66</v>
      </c>
      <c r="E131" s="8">
        <v>2</v>
      </c>
      <c r="F131" s="8" t="s">
        <v>1502</v>
      </c>
      <c r="G131" s="10" t="s">
        <v>1578</v>
      </c>
    </row>
    <row r="132" ht="14.25" spans="1:7">
      <c r="A132" s="3" t="s">
        <v>549</v>
      </c>
      <c r="B132" s="4" t="s">
        <v>1515</v>
      </c>
      <c r="C132" s="5">
        <v>42</v>
      </c>
      <c r="D132" s="4" t="s">
        <v>66</v>
      </c>
      <c r="E132" s="4">
        <v>2</v>
      </c>
      <c r="F132" s="4" t="s">
        <v>1502</v>
      </c>
      <c r="G132" s="6" t="s">
        <v>1578</v>
      </c>
    </row>
    <row r="133" ht="14.25" spans="1:7">
      <c r="A133" s="7" t="s">
        <v>549</v>
      </c>
      <c r="B133" s="8" t="s">
        <v>1518</v>
      </c>
      <c r="C133" s="9">
        <v>40</v>
      </c>
      <c r="D133" s="8" t="s">
        <v>66</v>
      </c>
      <c r="E133" s="8">
        <v>3</v>
      </c>
      <c r="F133" s="8" t="s">
        <v>1502</v>
      </c>
      <c r="G133" s="10" t="s">
        <v>1578</v>
      </c>
    </row>
    <row r="134" ht="14.25" spans="1:7">
      <c r="A134" s="3" t="s">
        <v>578</v>
      </c>
      <c r="B134" s="4" t="s">
        <v>1501</v>
      </c>
      <c r="C134" s="5">
        <v>51</v>
      </c>
      <c r="D134" s="4" t="s">
        <v>66</v>
      </c>
      <c r="E134" s="4">
        <v>1</v>
      </c>
      <c r="F134" s="4" t="s">
        <v>1516</v>
      </c>
      <c r="G134" s="6" t="s">
        <v>1579</v>
      </c>
    </row>
    <row r="135" ht="14.25" spans="1:7">
      <c r="A135" s="7" t="s">
        <v>578</v>
      </c>
      <c r="B135" s="8" t="s">
        <v>1504</v>
      </c>
      <c r="C135" s="9">
        <v>35</v>
      </c>
      <c r="D135" s="8" t="s">
        <v>1112</v>
      </c>
      <c r="E135" s="8">
        <v>5</v>
      </c>
      <c r="F135" s="8" t="s">
        <v>1502</v>
      </c>
      <c r="G135" s="10" t="s">
        <v>1580</v>
      </c>
    </row>
    <row r="136" ht="14.25" spans="1:7">
      <c r="A136" s="3" t="s">
        <v>578</v>
      </c>
      <c r="B136" s="4" t="s">
        <v>1506</v>
      </c>
      <c r="C136" s="5">
        <v>36</v>
      </c>
      <c r="D136" s="4" t="s">
        <v>1112</v>
      </c>
      <c r="E136" s="4">
        <v>4</v>
      </c>
      <c r="F136" s="4" t="s">
        <v>1502</v>
      </c>
      <c r="G136" s="6" t="s">
        <v>1579</v>
      </c>
    </row>
    <row r="137" ht="14.25" spans="1:7">
      <c r="A137" s="7" t="s">
        <v>578</v>
      </c>
      <c r="B137" s="8" t="s">
        <v>1508</v>
      </c>
      <c r="C137" s="9">
        <v>37</v>
      </c>
      <c r="D137" s="8" t="s">
        <v>1112</v>
      </c>
      <c r="E137" s="8">
        <v>3</v>
      </c>
      <c r="F137" s="8" t="s">
        <v>1502</v>
      </c>
      <c r="G137" s="10" t="s">
        <v>1579</v>
      </c>
    </row>
    <row r="138" ht="14.25" spans="1:7">
      <c r="A138" s="3" t="s">
        <v>578</v>
      </c>
      <c r="B138" s="4" t="s">
        <v>1510</v>
      </c>
      <c r="C138" s="5">
        <v>39</v>
      </c>
      <c r="D138" s="4" t="s">
        <v>1112</v>
      </c>
      <c r="E138" s="4">
        <v>2</v>
      </c>
      <c r="F138" s="4" t="s">
        <v>1502</v>
      </c>
      <c r="G138" s="6" t="s">
        <v>1579</v>
      </c>
    </row>
    <row r="139" ht="14.25" spans="1:7">
      <c r="A139" s="7" t="s">
        <v>605</v>
      </c>
      <c r="B139" s="8" t="s">
        <v>1501</v>
      </c>
      <c r="C139" s="9">
        <v>95</v>
      </c>
      <c r="D139" s="8" t="s">
        <v>98</v>
      </c>
      <c r="E139" s="8">
        <v>1</v>
      </c>
      <c r="F139" s="8" t="s">
        <v>1516</v>
      </c>
      <c r="G139" s="10" t="s">
        <v>1581</v>
      </c>
    </row>
    <row r="140" ht="14.25" spans="1:7">
      <c r="A140" s="3" t="s">
        <v>605</v>
      </c>
      <c r="B140" s="4" t="s">
        <v>1504</v>
      </c>
      <c r="C140" s="5">
        <v>95</v>
      </c>
      <c r="D140" s="4" t="s">
        <v>98</v>
      </c>
      <c r="E140" s="4">
        <v>1</v>
      </c>
      <c r="F140" s="4" t="s">
        <v>1516</v>
      </c>
      <c r="G140" s="6" t="s">
        <v>1582</v>
      </c>
    </row>
    <row r="141" ht="14.25" spans="1:7">
      <c r="A141" s="7" t="s">
        <v>605</v>
      </c>
      <c r="B141" s="8" t="s">
        <v>1506</v>
      </c>
      <c r="C141" s="9">
        <v>57</v>
      </c>
      <c r="D141" s="8" t="s">
        <v>66</v>
      </c>
      <c r="E141" s="8">
        <v>2</v>
      </c>
      <c r="F141" s="8" t="s">
        <v>1502</v>
      </c>
      <c r="G141" s="10" t="s">
        <v>1582</v>
      </c>
    </row>
    <row r="142" ht="14.25" spans="1:7">
      <c r="A142" s="3" t="s">
        <v>605</v>
      </c>
      <c r="B142" s="4" t="s">
        <v>1508</v>
      </c>
      <c r="C142" s="5">
        <v>40</v>
      </c>
      <c r="D142" s="4" t="s">
        <v>66</v>
      </c>
      <c r="E142" s="4">
        <v>4</v>
      </c>
      <c r="F142" s="4" t="s">
        <v>1502</v>
      </c>
      <c r="G142" s="6" t="s">
        <v>1583</v>
      </c>
    </row>
    <row r="143" ht="14.25" spans="1:7">
      <c r="A143" s="7" t="s">
        <v>605</v>
      </c>
      <c r="B143" s="8" t="s">
        <v>1510</v>
      </c>
      <c r="C143" s="9">
        <v>47</v>
      </c>
      <c r="D143" s="8" t="s">
        <v>66</v>
      </c>
      <c r="E143" s="8">
        <v>3</v>
      </c>
      <c r="F143" s="8" t="s">
        <v>1502</v>
      </c>
      <c r="G143" s="10" t="s">
        <v>1583</v>
      </c>
    </row>
    <row r="144" ht="14.25" spans="1:7">
      <c r="A144" s="3" t="s">
        <v>631</v>
      </c>
      <c r="B144" s="4" t="s">
        <v>1501</v>
      </c>
      <c r="C144" s="5">
        <v>99</v>
      </c>
      <c r="D144" s="4" t="s">
        <v>98</v>
      </c>
      <c r="E144" s="4">
        <v>1</v>
      </c>
      <c r="F144" s="4" t="s">
        <v>1516</v>
      </c>
      <c r="G144" s="6" t="s">
        <v>1584</v>
      </c>
    </row>
    <row r="145" ht="14.25" spans="1:7">
      <c r="A145" s="7" t="s">
        <v>631</v>
      </c>
      <c r="B145" s="8" t="s">
        <v>1504</v>
      </c>
      <c r="C145" s="9">
        <v>68</v>
      </c>
      <c r="D145" s="8" t="s">
        <v>758</v>
      </c>
      <c r="E145" s="8">
        <v>2</v>
      </c>
      <c r="F145" s="8" t="s">
        <v>1502</v>
      </c>
      <c r="G145" s="10" t="s">
        <v>1585</v>
      </c>
    </row>
    <row r="146" ht="14.25" spans="1:7">
      <c r="A146" s="3" t="s">
        <v>631</v>
      </c>
      <c r="B146" s="4" t="s">
        <v>1506</v>
      </c>
      <c r="C146" s="5">
        <v>67</v>
      </c>
      <c r="D146" s="4" t="s">
        <v>758</v>
      </c>
      <c r="E146" s="4">
        <v>3</v>
      </c>
      <c r="F146" s="4" t="s">
        <v>1502</v>
      </c>
      <c r="G146" s="6" t="s">
        <v>1584</v>
      </c>
    </row>
    <row r="147" ht="14.25" spans="1:7">
      <c r="A147" s="7" t="s">
        <v>631</v>
      </c>
      <c r="B147" s="8" t="s">
        <v>1508</v>
      </c>
      <c r="C147" s="9">
        <v>60</v>
      </c>
      <c r="D147" s="8" t="s">
        <v>758</v>
      </c>
      <c r="E147" s="8">
        <v>4</v>
      </c>
      <c r="F147" s="8" t="s">
        <v>1502</v>
      </c>
      <c r="G147" s="10" t="s">
        <v>1584</v>
      </c>
    </row>
    <row r="148" ht="14.25" spans="1:7">
      <c r="A148" s="3" t="s">
        <v>656</v>
      </c>
      <c r="B148" s="4" t="s">
        <v>1501</v>
      </c>
      <c r="C148" s="5">
        <v>51</v>
      </c>
      <c r="D148" s="4" t="s">
        <v>66</v>
      </c>
      <c r="E148" s="4">
        <v>1</v>
      </c>
      <c r="F148" s="4" t="s">
        <v>1516</v>
      </c>
      <c r="G148" s="6" t="s">
        <v>1586</v>
      </c>
    </row>
    <row r="149" ht="14.25" spans="1:7">
      <c r="A149" s="7" t="s">
        <v>682</v>
      </c>
      <c r="B149" s="8" t="s">
        <v>1501</v>
      </c>
      <c r="C149" s="9">
        <v>58</v>
      </c>
      <c r="D149" s="8" t="s">
        <v>66</v>
      </c>
      <c r="E149" s="8">
        <v>3</v>
      </c>
      <c r="F149" s="8" t="s">
        <v>1502</v>
      </c>
      <c r="G149" s="10" t="s">
        <v>1587</v>
      </c>
    </row>
    <row r="150" ht="14.25" spans="1:7">
      <c r="A150" s="3" t="s">
        <v>682</v>
      </c>
      <c r="B150" s="4" t="s">
        <v>1504</v>
      </c>
      <c r="C150" s="5">
        <v>60</v>
      </c>
      <c r="D150" s="4" t="s">
        <v>758</v>
      </c>
      <c r="E150" s="4">
        <v>2</v>
      </c>
      <c r="F150" s="4" t="s">
        <v>1502</v>
      </c>
      <c r="G150" s="6" t="s">
        <v>1588</v>
      </c>
    </row>
    <row r="151" ht="14.25" spans="1:7">
      <c r="A151" s="7" t="s">
        <v>682</v>
      </c>
      <c r="B151" s="8" t="s">
        <v>1506</v>
      </c>
      <c r="C151" s="9">
        <v>44</v>
      </c>
      <c r="D151" s="8" t="s">
        <v>66</v>
      </c>
      <c r="E151" s="8">
        <v>6</v>
      </c>
      <c r="F151" s="8" t="s">
        <v>1502</v>
      </c>
      <c r="G151" s="10" t="s">
        <v>1589</v>
      </c>
    </row>
    <row r="152" ht="14.25" spans="1:7">
      <c r="A152" s="3" t="s">
        <v>682</v>
      </c>
      <c r="B152" s="4" t="s">
        <v>1508</v>
      </c>
      <c r="C152" s="5">
        <v>44</v>
      </c>
      <c r="D152" s="4" t="s">
        <v>66</v>
      </c>
      <c r="E152" s="4">
        <v>6</v>
      </c>
      <c r="F152" s="4" t="s">
        <v>1502</v>
      </c>
      <c r="G152" s="6" t="s">
        <v>1587</v>
      </c>
    </row>
    <row r="153" ht="14.25" spans="1:7">
      <c r="A153" s="7" t="s">
        <v>682</v>
      </c>
      <c r="B153" s="8" t="s">
        <v>1510</v>
      </c>
      <c r="C153" s="9">
        <v>40</v>
      </c>
      <c r="D153" s="8" t="s">
        <v>66</v>
      </c>
      <c r="E153" s="8">
        <v>7</v>
      </c>
      <c r="F153" s="8" t="s">
        <v>1502</v>
      </c>
      <c r="G153" s="10" t="s">
        <v>1590</v>
      </c>
    </row>
    <row r="154" ht="14.25" spans="1:7">
      <c r="A154" s="3" t="s">
        <v>682</v>
      </c>
      <c r="B154" s="4" t="s">
        <v>1512</v>
      </c>
      <c r="C154" s="5">
        <v>53</v>
      </c>
      <c r="D154" s="4" t="s">
        <v>66</v>
      </c>
      <c r="E154" s="4">
        <v>4</v>
      </c>
      <c r="F154" s="4" t="s">
        <v>1502</v>
      </c>
      <c r="G154" s="6" t="s">
        <v>1591</v>
      </c>
    </row>
    <row r="155" ht="14.25" spans="1:7">
      <c r="A155" s="7" t="s">
        <v>682</v>
      </c>
      <c r="B155" s="8" t="s">
        <v>1513</v>
      </c>
      <c r="C155" s="9">
        <v>50</v>
      </c>
      <c r="D155" s="8" t="s">
        <v>66</v>
      </c>
      <c r="E155" s="8">
        <v>5</v>
      </c>
      <c r="F155" s="8" t="s">
        <v>1502</v>
      </c>
      <c r="G155" s="10" t="s">
        <v>1587</v>
      </c>
    </row>
    <row r="156" ht="14.25" spans="1:7">
      <c r="A156" s="3" t="s">
        <v>682</v>
      </c>
      <c r="B156" s="4" t="s">
        <v>1514</v>
      </c>
      <c r="C156" s="5">
        <v>66</v>
      </c>
      <c r="D156" s="4" t="s">
        <v>758</v>
      </c>
      <c r="E156" s="4">
        <v>1</v>
      </c>
      <c r="F156" s="4" t="s">
        <v>1516</v>
      </c>
      <c r="G156" s="6" t="s">
        <v>1587</v>
      </c>
    </row>
    <row r="157" ht="14.25" spans="1:7">
      <c r="A157" s="7" t="s">
        <v>715</v>
      </c>
      <c r="B157" s="8" t="s">
        <v>1501</v>
      </c>
      <c r="C157" s="9">
        <v>95</v>
      </c>
      <c r="D157" s="8" t="s">
        <v>98</v>
      </c>
      <c r="E157" s="8">
        <v>1</v>
      </c>
      <c r="F157" s="8" t="s">
        <v>1516</v>
      </c>
      <c r="G157" s="10" t="s">
        <v>1592</v>
      </c>
    </row>
    <row r="158" ht="14.25" spans="1:7">
      <c r="A158" s="3" t="s">
        <v>715</v>
      </c>
      <c r="B158" s="4" t="s">
        <v>1504</v>
      </c>
      <c r="C158" s="5">
        <v>94</v>
      </c>
      <c r="D158" s="4" t="s">
        <v>235</v>
      </c>
      <c r="E158" s="4">
        <v>2</v>
      </c>
      <c r="F158" s="4" t="s">
        <v>1502</v>
      </c>
      <c r="G158" s="6" t="s">
        <v>1593</v>
      </c>
    </row>
    <row r="159" ht="14.25" spans="1:7">
      <c r="A159" s="7" t="s">
        <v>715</v>
      </c>
      <c r="B159" s="8" t="s">
        <v>1506</v>
      </c>
      <c r="C159" s="9">
        <v>23</v>
      </c>
      <c r="D159" s="8" t="s">
        <v>1112</v>
      </c>
      <c r="E159" s="8">
        <v>3</v>
      </c>
      <c r="F159" s="8" t="s">
        <v>1502</v>
      </c>
      <c r="G159" s="10" t="s">
        <v>1594</v>
      </c>
    </row>
    <row r="160" ht="14.25" spans="1:7">
      <c r="A160" s="3" t="s">
        <v>715</v>
      </c>
      <c r="B160" s="4" t="s">
        <v>1508</v>
      </c>
      <c r="C160" s="5">
        <v>5</v>
      </c>
      <c r="D160" s="4" t="s">
        <v>1112</v>
      </c>
      <c r="E160" s="4">
        <v>4</v>
      </c>
      <c r="F160" s="4" t="s">
        <v>1502</v>
      </c>
      <c r="G160" s="6" t="s">
        <v>1594</v>
      </c>
    </row>
    <row r="161" ht="14.25" spans="1:7">
      <c r="A161" s="7" t="s">
        <v>737</v>
      </c>
      <c r="B161" s="8" t="s">
        <v>1501</v>
      </c>
      <c r="C161" s="9">
        <v>69</v>
      </c>
      <c r="D161" s="8" t="s">
        <v>758</v>
      </c>
      <c r="E161" s="8">
        <v>2</v>
      </c>
      <c r="F161" s="8" t="s">
        <v>1502</v>
      </c>
      <c r="G161" s="10" t="s">
        <v>1595</v>
      </c>
    </row>
    <row r="162" ht="14.25" spans="1:7">
      <c r="A162" s="3" t="s">
        <v>737</v>
      </c>
      <c r="B162" s="4" t="s">
        <v>1504</v>
      </c>
      <c r="C162" s="5">
        <v>95</v>
      </c>
      <c r="D162" s="4" t="s">
        <v>98</v>
      </c>
      <c r="E162" s="4">
        <v>1</v>
      </c>
      <c r="F162" s="4" t="s">
        <v>1516</v>
      </c>
      <c r="G162" s="6" t="s">
        <v>1596</v>
      </c>
    </row>
    <row r="163" ht="14.25" spans="1:7">
      <c r="A163" s="7" t="s">
        <v>737</v>
      </c>
      <c r="B163" s="8" t="s">
        <v>1506</v>
      </c>
      <c r="C163" s="9">
        <v>44</v>
      </c>
      <c r="D163" s="8" t="s">
        <v>66</v>
      </c>
      <c r="E163" s="8">
        <v>3</v>
      </c>
      <c r="F163" s="8" t="s">
        <v>1502</v>
      </c>
      <c r="G163" s="10" t="s">
        <v>1597</v>
      </c>
    </row>
    <row r="164" ht="14.25" spans="1:7">
      <c r="A164" s="3" t="s">
        <v>771</v>
      </c>
      <c r="B164" s="4" t="s">
        <v>1501</v>
      </c>
      <c r="C164" s="5">
        <v>95</v>
      </c>
      <c r="D164" s="4" t="s">
        <v>98</v>
      </c>
      <c r="E164" s="4">
        <v>1</v>
      </c>
      <c r="F164" s="4" t="s">
        <v>1516</v>
      </c>
      <c r="G164" s="6" t="s">
        <v>1598</v>
      </c>
    </row>
    <row r="165" ht="14.25" spans="1:7">
      <c r="A165" s="7" t="s">
        <v>771</v>
      </c>
      <c r="B165" s="8" t="s">
        <v>1504</v>
      </c>
      <c r="C165" s="9">
        <v>95</v>
      </c>
      <c r="D165" s="8" t="s">
        <v>98</v>
      </c>
      <c r="E165" s="8">
        <v>1</v>
      </c>
      <c r="F165" s="8" t="s">
        <v>1516</v>
      </c>
      <c r="G165" s="10" t="s">
        <v>1599</v>
      </c>
    </row>
    <row r="166" ht="14.25" spans="1:7">
      <c r="A166" s="3" t="s">
        <v>771</v>
      </c>
      <c r="B166" s="4" t="s">
        <v>1506</v>
      </c>
      <c r="C166" s="5">
        <v>95</v>
      </c>
      <c r="D166" s="4" t="s">
        <v>98</v>
      </c>
      <c r="E166" s="4">
        <v>1</v>
      </c>
      <c r="F166" s="4" t="s">
        <v>1516</v>
      </c>
      <c r="G166" s="6" t="s">
        <v>1599</v>
      </c>
    </row>
    <row r="167" ht="14.25" spans="1:7">
      <c r="A167" s="7" t="s">
        <v>771</v>
      </c>
      <c r="B167" s="8" t="s">
        <v>1508</v>
      </c>
      <c r="C167" s="9">
        <v>95</v>
      </c>
      <c r="D167" s="8" t="s">
        <v>98</v>
      </c>
      <c r="E167" s="8">
        <v>1</v>
      </c>
      <c r="F167" s="8" t="s">
        <v>1516</v>
      </c>
      <c r="G167" s="10" t="s">
        <v>1599</v>
      </c>
    </row>
    <row r="168" ht="14.25" spans="1:7">
      <c r="A168" s="3" t="s">
        <v>771</v>
      </c>
      <c r="B168" s="4" t="s">
        <v>1510</v>
      </c>
      <c r="C168" s="5">
        <v>95</v>
      </c>
      <c r="D168" s="4" t="s">
        <v>98</v>
      </c>
      <c r="E168" s="4">
        <v>1</v>
      </c>
      <c r="F168" s="4" t="s">
        <v>1516</v>
      </c>
      <c r="G168" s="6" t="s">
        <v>1600</v>
      </c>
    </row>
    <row r="169" ht="14.25" spans="1:7">
      <c r="A169" s="7" t="s">
        <v>771</v>
      </c>
      <c r="B169" s="8" t="s">
        <v>1512</v>
      </c>
      <c r="C169" s="9">
        <v>95</v>
      </c>
      <c r="D169" s="8" t="s">
        <v>98</v>
      </c>
      <c r="E169" s="8">
        <v>1</v>
      </c>
      <c r="F169" s="8" t="s">
        <v>1516</v>
      </c>
      <c r="G169" s="10" t="s">
        <v>1600</v>
      </c>
    </row>
    <row r="170" ht="14.25" spans="1:7">
      <c r="A170" s="3" t="s">
        <v>771</v>
      </c>
      <c r="B170" s="4" t="s">
        <v>1513</v>
      </c>
      <c r="C170" s="5">
        <v>95</v>
      </c>
      <c r="D170" s="4" t="s">
        <v>98</v>
      </c>
      <c r="E170" s="4">
        <v>1</v>
      </c>
      <c r="F170" s="4" t="s">
        <v>1516</v>
      </c>
      <c r="G170" s="6" t="s">
        <v>1598</v>
      </c>
    </row>
    <row r="171" ht="14.25" spans="1:7">
      <c r="A171" s="7" t="s">
        <v>771</v>
      </c>
      <c r="B171" s="8" t="s">
        <v>1514</v>
      </c>
      <c r="C171" s="9">
        <v>39</v>
      </c>
      <c r="D171" s="8" t="s">
        <v>1112</v>
      </c>
      <c r="E171" s="8">
        <v>3</v>
      </c>
      <c r="F171" s="8" t="s">
        <v>1502</v>
      </c>
      <c r="G171" s="10" t="s">
        <v>1601</v>
      </c>
    </row>
    <row r="172" ht="14.25" spans="1:7">
      <c r="A172" s="3" t="s">
        <v>771</v>
      </c>
      <c r="B172" s="4" t="s">
        <v>1515</v>
      </c>
      <c r="C172" s="5">
        <v>94</v>
      </c>
      <c r="D172" s="4" t="s">
        <v>235</v>
      </c>
      <c r="E172" s="4">
        <v>2</v>
      </c>
      <c r="F172" s="4" t="s">
        <v>1502</v>
      </c>
      <c r="G172" s="6" t="s">
        <v>1598</v>
      </c>
    </row>
    <row r="173" ht="14.25" spans="1:7">
      <c r="A173" s="7" t="s">
        <v>795</v>
      </c>
      <c r="B173" s="8" t="s">
        <v>1501</v>
      </c>
      <c r="C173" s="9">
        <v>99</v>
      </c>
      <c r="D173" s="8" t="s">
        <v>98</v>
      </c>
      <c r="E173" s="8">
        <v>1</v>
      </c>
      <c r="F173" s="8" t="s">
        <v>1516</v>
      </c>
      <c r="G173" s="10" t="s">
        <v>1602</v>
      </c>
    </row>
    <row r="174" ht="14.25" spans="1:7">
      <c r="A174" s="3" t="s">
        <v>795</v>
      </c>
      <c r="B174" s="4" t="s">
        <v>1504</v>
      </c>
      <c r="C174" s="5">
        <v>99</v>
      </c>
      <c r="D174" s="4" t="s">
        <v>98</v>
      </c>
      <c r="E174" s="4">
        <v>1</v>
      </c>
      <c r="F174" s="4" t="s">
        <v>1516</v>
      </c>
      <c r="G174" s="6" t="s">
        <v>1602</v>
      </c>
    </row>
    <row r="175" ht="14.25" spans="1:7">
      <c r="A175" s="7" t="s">
        <v>795</v>
      </c>
      <c r="B175" s="8" t="s">
        <v>1506</v>
      </c>
      <c r="C175" s="9">
        <v>68</v>
      </c>
      <c r="D175" s="8" t="s">
        <v>758</v>
      </c>
      <c r="E175" s="8">
        <v>2</v>
      </c>
      <c r="F175" s="8" t="s">
        <v>1502</v>
      </c>
      <c r="G175" s="10" t="s">
        <v>1603</v>
      </c>
    </row>
    <row r="176" ht="14.25" spans="1:7">
      <c r="A176" s="3" t="s">
        <v>795</v>
      </c>
      <c r="B176" s="4" t="s">
        <v>1508</v>
      </c>
      <c r="C176" s="5">
        <v>68</v>
      </c>
      <c r="D176" s="4" t="s">
        <v>758</v>
      </c>
      <c r="E176" s="4">
        <v>2</v>
      </c>
      <c r="F176" s="4" t="s">
        <v>1502</v>
      </c>
      <c r="G176" s="6" t="s">
        <v>1604</v>
      </c>
    </row>
    <row r="177" ht="14.25" spans="1:7">
      <c r="A177" s="7" t="s">
        <v>795</v>
      </c>
      <c r="B177" s="8" t="s">
        <v>1510</v>
      </c>
      <c r="C177" s="9">
        <v>57</v>
      </c>
      <c r="D177" s="8" t="s">
        <v>66</v>
      </c>
      <c r="E177" s="8">
        <v>3</v>
      </c>
      <c r="F177" s="8" t="s">
        <v>1502</v>
      </c>
      <c r="G177" s="10" t="s">
        <v>1603</v>
      </c>
    </row>
    <row r="178" ht="14.25" spans="1:7">
      <c r="A178" s="3" t="s">
        <v>795</v>
      </c>
      <c r="B178" s="4" t="s">
        <v>1512</v>
      </c>
      <c r="C178" s="5">
        <v>53</v>
      </c>
      <c r="D178" s="4" t="s">
        <v>66</v>
      </c>
      <c r="E178" s="4">
        <v>4</v>
      </c>
      <c r="F178" s="4" t="s">
        <v>1502</v>
      </c>
      <c r="G178" s="6" t="s">
        <v>1603</v>
      </c>
    </row>
    <row r="179" ht="14.25" spans="1:7">
      <c r="A179" s="7" t="s">
        <v>827</v>
      </c>
      <c r="B179" s="8" t="s">
        <v>1501</v>
      </c>
      <c r="C179" s="9">
        <v>56</v>
      </c>
      <c r="D179" s="8" t="s">
        <v>66</v>
      </c>
      <c r="E179" s="8">
        <v>2</v>
      </c>
      <c r="F179" s="8" t="s">
        <v>1502</v>
      </c>
      <c r="G179" s="10" t="s">
        <v>1605</v>
      </c>
    </row>
    <row r="180" ht="14.25" spans="1:7">
      <c r="A180" s="3" t="s">
        <v>827</v>
      </c>
      <c r="B180" s="4" t="s">
        <v>1504</v>
      </c>
      <c r="C180" s="5">
        <v>58</v>
      </c>
      <c r="D180" s="4" t="s">
        <v>66</v>
      </c>
      <c r="E180" s="4">
        <v>1</v>
      </c>
      <c r="F180" s="4" t="s">
        <v>1516</v>
      </c>
      <c r="G180" s="6" t="s">
        <v>1606</v>
      </c>
    </row>
    <row r="181" ht="14.25" spans="1:7">
      <c r="A181" s="7" t="s">
        <v>827</v>
      </c>
      <c r="B181" s="8" t="s">
        <v>1506</v>
      </c>
      <c r="C181" s="9">
        <v>48</v>
      </c>
      <c r="D181" s="8" t="s">
        <v>66</v>
      </c>
      <c r="E181" s="8">
        <v>4</v>
      </c>
      <c r="F181" s="8" t="s">
        <v>1502</v>
      </c>
      <c r="G181" s="10" t="s">
        <v>1607</v>
      </c>
    </row>
    <row r="182" ht="14.25" spans="1:7">
      <c r="A182" s="3" t="s">
        <v>827</v>
      </c>
      <c r="B182" s="4" t="s">
        <v>1508</v>
      </c>
      <c r="C182" s="5">
        <v>36</v>
      </c>
      <c r="D182" s="4" t="s">
        <v>1112</v>
      </c>
      <c r="E182" s="4">
        <v>8</v>
      </c>
      <c r="F182" s="4" t="s">
        <v>1502</v>
      </c>
      <c r="G182" s="6" t="s">
        <v>1608</v>
      </c>
    </row>
    <row r="183" ht="14.25" spans="1:7">
      <c r="A183" s="7" t="s">
        <v>827</v>
      </c>
      <c r="B183" s="8" t="s">
        <v>1510</v>
      </c>
      <c r="C183" s="9">
        <v>48</v>
      </c>
      <c r="D183" s="8" t="s">
        <v>66</v>
      </c>
      <c r="E183" s="8">
        <v>4</v>
      </c>
      <c r="F183" s="8" t="s">
        <v>1502</v>
      </c>
      <c r="G183" s="10" t="s">
        <v>1609</v>
      </c>
    </row>
    <row r="184" ht="14.25" spans="1:7">
      <c r="A184" s="3" t="s">
        <v>827</v>
      </c>
      <c r="B184" s="4" t="s">
        <v>1512</v>
      </c>
      <c r="C184" s="5">
        <v>44</v>
      </c>
      <c r="D184" s="4" t="s">
        <v>66</v>
      </c>
      <c r="E184" s="4">
        <v>6</v>
      </c>
      <c r="F184" s="4" t="s">
        <v>1502</v>
      </c>
      <c r="G184" s="6" t="s">
        <v>1607</v>
      </c>
    </row>
    <row r="185" ht="14.25" spans="1:7">
      <c r="A185" s="7" t="s">
        <v>827</v>
      </c>
      <c r="B185" s="8" t="s">
        <v>1513</v>
      </c>
      <c r="C185" s="9">
        <v>44</v>
      </c>
      <c r="D185" s="8" t="s">
        <v>66</v>
      </c>
      <c r="E185" s="8">
        <v>6</v>
      </c>
      <c r="F185" s="8" t="s">
        <v>1502</v>
      </c>
      <c r="G185" s="10" t="s">
        <v>1607</v>
      </c>
    </row>
    <row r="186" ht="14.25" spans="1:7">
      <c r="A186" s="3" t="s">
        <v>827</v>
      </c>
      <c r="B186" s="4" t="s">
        <v>1514</v>
      </c>
      <c r="C186" s="5">
        <v>45</v>
      </c>
      <c r="D186" s="4" t="s">
        <v>66</v>
      </c>
      <c r="E186" s="4">
        <v>5</v>
      </c>
      <c r="F186" s="4" t="s">
        <v>1502</v>
      </c>
      <c r="G186" s="6" t="s">
        <v>1605</v>
      </c>
    </row>
    <row r="187" ht="14.25" spans="1:7">
      <c r="A187" s="7" t="s">
        <v>827</v>
      </c>
      <c r="B187" s="8" t="s">
        <v>1515</v>
      </c>
      <c r="C187" s="9">
        <v>41</v>
      </c>
      <c r="D187" s="8" t="s">
        <v>66</v>
      </c>
      <c r="E187" s="8">
        <v>7</v>
      </c>
      <c r="F187" s="8" t="s">
        <v>1502</v>
      </c>
      <c r="G187" s="10" t="s">
        <v>1605</v>
      </c>
    </row>
    <row r="188" ht="14.25" spans="1:7">
      <c r="A188" s="3" t="s">
        <v>827</v>
      </c>
      <c r="B188" s="4" t="s">
        <v>1518</v>
      </c>
      <c r="C188" s="5">
        <v>50</v>
      </c>
      <c r="D188" s="4" t="s">
        <v>66</v>
      </c>
      <c r="E188" s="4">
        <v>3</v>
      </c>
      <c r="F188" s="4" t="s">
        <v>1502</v>
      </c>
      <c r="G188" s="6" t="s">
        <v>1607</v>
      </c>
    </row>
    <row r="189" ht="14.25" spans="1:7">
      <c r="A189" s="7" t="s">
        <v>855</v>
      </c>
      <c r="B189" s="8" t="s">
        <v>1501</v>
      </c>
      <c r="C189" s="9">
        <v>44</v>
      </c>
      <c r="D189" s="8" t="s">
        <v>66</v>
      </c>
      <c r="E189" s="8">
        <v>1</v>
      </c>
      <c r="F189" s="8" t="s">
        <v>1516</v>
      </c>
      <c r="G189" s="10" t="s">
        <v>1610</v>
      </c>
    </row>
    <row r="190" ht="14.25" spans="1:7">
      <c r="A190" s="3" t="s">
        <v>855</v>
      </c>
      <c r="B190" s="4" t="s">
        <v>1504</v>
      </c>
      <c r="C190" s="5">
        <v>44</v>
      </c>
      <c r="D190" s="4" t="s">
        <v>66</v>
      </c>
      <c r="E190" s="4">
        <v>1</v>
      </c>
      <c r="F190" s="4" t="s">
        <v>1516</v>
      </c>
      <c r="G190" s="6" t="s">
        <v>1611</v>
      </c>
    </row>
    <row r="191" ht="14.25" spans="1:7">
      <c r="A191" s="7" t="s">
        <v>855</v>
      </c>
      <c r="B191" s="8" t="s">
        <v>1506</v>
      </c>
      <c r="C191" s="9">
        <v>26</v>
      </c>
      <c r="D191" s="8" t="s">
        <v>1112</v>
      </c>
      <c r="E191" s="8">
        <v>5</v>
      </c>
      <c r="F191" s="8" t="s">
        <v>1502</v>
      </c>
      <c r="G191" s="10" t="s">
        <v>1612</v>
      </c>
    </row>
    <row r="192" ht="14.25" spans="1:7">
      <c r="A192" s="3" t="s">
        <v>855</v>
      </c>
      <c r="B192" s="4" t="s">
        <v>1508</v>
      </c>
      <c r="C192" s="5">
        <v>20</v>
      </c>
      <c r="D192" s="4" t="s">
        <v>1112</v>
      </c>
      <c r="E192" s="4">
        <v>7</v>
      </c>
      <c r="F192" s="4" t="s">
        <v>1502</v>
      </c>
      <c r="G192" s="6" t="s">
        <v>1612</v>
      </c>
    </row>
    <row r="193" ht="14.25" spans="1:7">
      <c r="A193" s="7" t="s">
        <v>855</v>
      </c>
      <c r="B193" s="8" t="s">
        <v>1510</v>
      </c>
      <c r="C193" s="9">
        <v>26</v>
      </c>
      <c r="D193" s="8" t="s">
        <v>1112</v>
      </c>
      <c r="E193" s="8">
        <v>5</v>
      </c>
      <c r="F193" s="8" t="s">
        <v>1502</v>
      </c>
      <c r="G193" s="10" t="s">
        <v>1613</v>
      </c>
    </row>
    <row r="194" ht="14.25" spans="1:7">
      <c r="A194" s="3" t="s">
        <v>855</v>
      </c>
      <c r="B194" s="4" t="s">
        <v>1512</v>
      </c>
      <c r="C194" s="5">
        <v>35</v>
      </c>
      <c r="D194" s="4" t="s">
        <v>1112</v>
      </c>
      <c r="E194" s="4">
        <v>3</v>
      </c>
      <c r="F194" s="4" t="s">
        <v>1502</v>
      </c>
      <c r="G194" s="6" t="s">
        <v>1614</v>
      </c>
    </row>
    <row r="195" ht="14.25" spans="1:7">
      <c r="A195" s="7" t="s">
        <v>855</v>
      </c>
      <c r="B195" s="8" t="s">
        <v>1513</v>
      </c>
      <c r="C195" s="9">
        <v>28</v>
      </c>
      <c r="D195" s="8" t="s">
        <v>1112</v>
      </c>
      <c r="E195" s="8">
        <v>4</v>
      </c>
      <c r="F195" s="8" t="s">
        <v>1502</v>
      </c>
      <c r="G195" s="10" t="s">
        <v>1612</v>
      </c>
    </row>
    <row r="196" ht="14.25" spans="1:7">
      <c r="A196" s="3" t="s">
        <v>855</v>
      </c>
      <c r="B196" s="4" t="s">
        <v>1514</v>
      </c>
      <c r="C196" s="5">
        <v>44</v>
      </c>
      <c r="D196" s="4" t="s">
        <v>66</v>
      </c>
      <c r="E196" s="4">
        <v>1</v>
      </c>
      <c r="F196" s="4" t="s">
        <v>1516</v>
      </c>
      <c r="G196" s="6" t="s">
        <v>1614</v>
      </c>
    </row>
    <row r="197" ht="14.25" spans="1:7">
      <c r="A197" s="7" t="s">
        <v>855</v>
      </c>
      <c r="B197" s="8" t="s">
        <v>1515</v>
      </c>
      <c r="C197" s="9">
        <v>25</v>
      </c>
      <c r="D197" s="8" t="s">
        <v>1112</v>
      </c>
      <c r="E197" s="8">
        <v>6</v>
      </c>
      <c r="F197" s="8" t="s">
        <v>1502</v>
      </c>
      <c r="G197" s="10" t="s">
        <v>1612</v>
      </c>
    </row>
    <row r="198" ht="14.25" spans="1:7">
      <c r="A198" s="3" t="s">
        <v>855</v>
      </c>
      <c r="B198" s="4" t="s">
        <v>1518</v>
      </c>
      <c r="C198" s="5">
        <v>40</v>
      </c>
      <c r="D198" s="4" t="s">
        <v>66</v>
      </c>
      <c r="E198" s="4">
        <v>2</v>
      </c>
      <c r="F198" s="4" t="s">
        <v>1502</v>
      </c>
      <c r="G198" s="6" t="s">
        <v>1614</v>
      </c>
    </row>
    <row r="199" ht="14.25" spans="1:7">
      <c r="A199" s="7" t="s">
        <v>880</v>
      </c>
      <c r="B199" s="8" t="s">
        <v>1501</v>
      </c>
      <c r="C199" s="9">
        <v>99</v>
      </c>
      <c r="D199" s="8" t="s">
        <v>98</v>
      </c>
      <c r="E199" s="8">
        <v>1</v>
      </c>
      <c r="F199" s="8" t="s">
        <v>1516</v>
      </c>
      <c r="G199" s="10" t="s">
        <v>1615</v>
      </c>
    </row>
    <row r="200" ht="14.25" spans="1:7">
      <c r="A200" s="3" t="s">
        <v>880</v>
      </c>
      <c r="B200" s="4" t="s">
        <v>1504</v>
      </c>
      <c r="C200" s="5">
        <v>69</v>
      </c>
      <c r="D200" s="4" t="s">
        <v>758</v>
      </c>
      <c r="E200" s="4">
        <v>2</v>
      </c>
      <c r="F200" s="4" t="s">
        <v>1502</v>
      </c>
      <c r="G200" s="6" t="s">
        <v>1616</v>
      </c>
    </row>
    <row r="201" ht="14.25" spans="1:7">
      <c r="A201" s="7" t="s">
        <v>880</v>
      </c>
      <c r="B201" s="8" t="s">
        <v>1506</v>
      </c>
      <c r="C201" s="9">
        <v>54</v>
      </c>
      <c r="D201" s="8" t="s">
        <v>66</v>
      </c>
      <c r="E201" s="8">
        <v>5</v>
      </c>
      <c r="F201" s="8" t="s">
        <v>1502</v>
      </c>
      <c r="G201" s="10" t="s">
        <v>1617</v>
      </c>
    </row>
    <row r="202" ht="14.25" spans="1:7">
      <c r="A202" s="3" t="s">
        <v>880</v>
      </c>
      <c r="B202" s="4" t="s">
        <v>1508</v>
      </c>
      <c r="C202" s="5">
        <v>68</v>
      </c>
      <c r="D202" s="4" t="s">
        <v>758</v>
      </c>
      <c r="E202" s="4">
        <v>3</v>
      </c>
      <c r="F202" s="4" t="s">
        <v>1502</v>
      </c>
      <c r="G202" s="6" t="s">
        <v>1617</v>
      </c>
    </row>
    <row r="203" ht="14.25" spans="1:7">
      <c r="A203" s="7" t="s">
        <v>880</v>
      </c>
      <c r="B203" s="8" t="s">
        <v>1510</v>
      </c>
      <c r="C203" s="9">
        <v>62</v>
      </c>
      <c r="D203" s="8" t="s">
        <v>758</v>
      </c>
      <c r="E203" s="8">
        <v>4</v>
      </c>
      <c r="F203" s="8" t="s">
        <v>1502</v>
      </c>
      <c r="G203" s="10" t="s">
        <v>1617</v>
      </c>
    </row>
    <row r="204" ht="14.25" spans="1:7">
      <c r="A204" s="3" t="s">
        <v>880</v>
      </c>
      <c r="B204" s="4" t="s">
        <v>1512</v>
      </c>
      <c r="C204" s="5">
        <v>49</v>
      </c>
      <c r="D204" s="4" t="s">
        <v>66</v>
      </c>
      <c r="E204" s="4">
        <v>6</v>
      </c>
      <c r="F204" s="4" t="s">
        <v>1502</v>
      </c>
      <c r="G204" s="6" t="s">
        <v>1618</v>
      </c>
    </row>
    <row r="205" ht="14.25" spans="1:7">
      <c r="A205" s="7" t="s">
        <v>905</v>
      </c>
      <c r="B205" s="8" t="s">
        <v>1501</v>
      </c>
      <c r="C205" s="9">
        <v>95</v>
      </c>
      <c r="D205" s="8" t="s">
        <v>98</v>
      </c>
      <c r="E205" s="8">
        <v>1</v>
      </c>
      <c r="F205" s="8" t="s">
        <v>1516</v>
      </c>
      <c r="G205" s="10" t="s">
        <v>1619</v>
      </c>
    </row>
    <row r="206" ht="14.25" spans="1:7">
      <c r="A206" s="3" t="s">
        <v>905</v>
      </c>
      <c r="B206" s="4" t="s">
        <v>1504</v>
      </c>
      <c r="C206" s="5">
        <v>95</v>
      </c>
      <c r="D206" s="4" t="s">
        <v>98</v>
      </c>
      <c r="E206" s="4">
        <v>1</v>
      </c>
      <c r="F206" s="4" t="s">
        <v>1516</v>
      </c>
      <c r="G206" s="6" t="s">
        <v>1620</v>
      </c>
    </row>
    <row r="207" ht="14.25" spans="1:7">
      <c r="A207" s="7" t="s">
        <v>905</v>
      </c>
      <c r="B207" s="8" t="s">
        <v>1506</v>
      </c>
      <c r="C207" s="9">
        <v>95</v>
      </c>
      <c r="D207" s="8" t="s">
        <v>98</v>
      </c>
      <c r="E207" s="8">
        <v>1</v>
      </c>
      <c r="F207" s="8" t="s">
        <v>1516</v>
      </c>
      <c r="G207" s="10" t="s">
        <v>1619</v>
      </c>
    </row>
    <row r="208" ht="14.25" spans="1:7">
      <c r="A208" s="3" t="s">
        <v>930</v>
      </c>
      <c r="B208" s="4" t="s">
        <v>1501</v>
      </c>
      <c r="C208" s="5">
        <v>56</v>
      </c>
      <c r="D208" s="4" t="s">
        <v>66</v>
      </c>
      <c r="E208" s="4">
        <v>2</v>
      </c>
      <c r="F208" s="4" t="s">
        <v>1502</v>
      </c>
      <c r="G208" s="6" t="s">
        <v>1621</v>
      </c>
    </row>
    <row r="209" ht="14.25" spans="1:7">
      <c r="A209" s="7" t="s">
        <v>930</v>
      </c>
      <c r="B209" s="8" t="s">
        <v>1504</v>
      </c>
      <c r="C209" s="9">
        <v>56</v>
      </c>
      <c r="D209" s="8" t="s">
        <v>66</v>
      </c>
      <c r="E209" s="8">
        <v>2</v>
      </c>
      <c r="F209" s="8" t="s">
        <v>1502</v>
      </c>
      <c r="G209" s="10" t="s">
        <v>1621</v>
      </c>
    </row>
    <row r="210" ht="14.25" spans="1:7">
      <c r="A210" s="3" t="s">
        <v>930</v>
      </c>
      <c r="B210" s="4" t="s">
        <v>1506</v>
      </c>
      <c r="C210" s="5">
        <v>53</v>
      </c>
      <c r="D210" s="4" t="s">
        <v>66</v>
      </c>
      <c r="E210" s="4">
        <v>4</v>
      </c>
      <c r="F210" s="4" t="s">
        <v>1502</v>
      </c>
      <c r="G210" s="6" t="s">
        <v>1621</v>
      </c>
    </row>
    <row r="211" ht="14.25" spans="1:7">
      <c r="A211" s="7" t="s">
        <v>930</v>
      </c>
      <c r="B211" s="8" t="s">
        <v>1508</v>
      </c>
      <c r="C211" s="9">
        <v>65</v>
      </c>
      <c r="D211" s="8" t="s">
        <v>758</v>
      </c>
      <c r="E211" s="8">
        <v>1</v>
      </c>
      <c r="F211" s="8" t="s">
        <v>1516</v>
      </c>
      <c r="G211" s="10" t="s">
        <v>1622</v>
      </c>
    </row>
    <row r="212" ht="14.25" spans="1:7">
      <c r="A212" s="3" t="s">
        <v>930</v>
      </c>
      <c r="B212" s="4" t="s">
        <v>1510</v>
      </c>
      <c r="C212" s="5">
        <v>55</v>
      </c>
      <c r="D212" s="4" t="s">
        <v>66</v>
      </c>
      <c r="E212" s="4">
        <v>3</v>
      </c>
      <c r="F212" s="4" t="s">
        <v>1502</v>
      </c>
      <c r="G212" s="6" t="s">
        <v>1623</v>
      </c>
    </row>
    <row r="213" ht="14.25" spans="1:7">
      <c r="A213" s="7" t="s">
        <v>930</v>
      </c>
      <c r="B213" s="8" t="s">
        <v>1512</v>
      </c>
      <c r="C213" s="9">
        <v>50</v>
      </c>
      <c r="D213" s="8" t="s">
        <v>66</v>
      </c>
      <c r="E213" s="8">
        <v>7</v>
      </c>
      <c r="F213" s="8" t="s">
        <v>1502</v>
      </c>
      <c r="G213" s="10" t="s">
        <v>1623</v>
      </c>
    </row>
    <row r="214" ht="14.25" spans="1:7">
      <c r="A214" s="3" t="s">
        <v>930</v>
      </c>
      <c r="B214" s="4" t="s">
        <v>1513</v>
      </c>
      <c r="C214" s="5">
        <v>52</v>
      </c>
      <c r="D214" s="4" t="s">
        <v>66</v>
      </c>
      <c r="E214" s="4">
        <v>5</v>
      </c>
      <c r="F214" s="4" t="s">
        <v>1502</v>
      </c>
      <c r="G214" s="6" t="s">
        <v>1624</v>
      </c>
    </row>
    <row r="215" ht="14.25" spans="1:7">
      <c r="A215" s="7" t="s">
        <v>930</v>
      </c>
      <c r="B215" s="8" t="s">
        <v>1514</v>
      </c>
      <c r="C215" s="9">
        <v>52</v>
      </c>
      <c r="D215" s="8" t="s">
        <v>66</v>
      </c>
      <c r="E215" s="8">
        <v>5</v>
      </c>
      <c r="F215" s="8" t="s">
        <v>1502</v>
      </c>
      <c r="G215" s="10" t="s">
        <v>1624</v>
      </c>
    </row>
    <row r="216" ht="14.25" spans="1:7">
      <c r="A216" s="3" t="s">
        <v>930</v>
      </c>
      <c r="B216" s="4" t="s">
        <v>1515</v>
      </c>
      <c r="C216" s="5">
        <v>52</v>
      </c>
      <c r="D216" s="4" t="s">
        <v>66</v>
      </c>
      <c r="E216" s="4">
        <v>5</v>
      </c>
      <c r="F216" s="4" t="s">
        <v>1502</v>
      </c>
      <c r="G216" s="6" t="s">
        <v>1624</v>
      </c>
    </row>
    <row r="217" ht="14.25" spans="1:7">
      <c r="A217" s="7" t="s">
        <v>930</v>
      </c>
      <c r="B217" s="8" t="s">
        <v>1518</v>
      </c>
      <c r="C217" s="9">
        <v>51</v>
      </c>
      <c r="D217" s="8" t="s">
        <v>66</v>
      </c>
      <c r="E217" s="8">
        <v>6</v>
      </c>
      <c r="F217" s="8" t="s">
        <v>1502</v>
      </c>
      <c r="G217" s="10" t="s">
        <v>1624</v>
      </c>
    </row>
    <row r="218" ht="14.25" spans="1:7">
      <c r="A218" s="3" t="s">
        <v>957</v>
      </c>
      <c r="B218" s="4" t="s">
        <v>1501</v>
      </c>
      <c r="C218" s="5">
        <v>44</v>
      </c>
      <c r="D218" s="4" t="s">
        <v>66</v>
      </c>
      <c r="E218" s="4">
        <v>3</v>
      </c>
      <c r="F218" s="4" t="s">
        <v>1502</v>
      </c>
      <c r="G218" s="6" t="s">
        <v>1625</v>
      </c>
    </row>
    <row r="219" ht="14.25" spans="1:7">
      <c r="A219" s="7" t="s">
        <v>957</v>
      </c>
      <c r="B219" s="8" t="s">
        <v>1504</v>
      </c>
      <c r="C219" s="9">
        <v>46</v>
      </c>
      <c r="D219" s="8" t="s">
        <v>66</v>
      </c>
      <c r="E219" s="8">
        <v>2</v>
      </c>
      <c r="F219" s="8" t="s">
        <v>1502</v>
      </c>
      <c r="G219" s="10" t="s">
        <v>1626</v>
      </c>
    </row>
    <row r="220" ht="14.25" spans="1:7">
      <c r="A220" s="3" t="s">
        <v>957</v>
      </c>
      <c r="B220" s="4" t="s">
        <v>1506</v>
      </c>
      <c r="C220" s="5">
        <v>48</v>
      </c>
      <c r="D220" s="4" t="s">
        <v>66</v>
      </c>
      <c r="E220" s="4">
        <v>1</v>
      </c>
      <c r="F220" s="4" t="s">
        <v>1516</v>
      </c>
      <c r="G220" s="6" t="s">
        <v>1627</v>
      </c>
    </row>
    <row r="221" ht="14.25" spans="1:7">
      <c r="A221" s="7" t="s">
        <v>986</v>
      </c>
      <c r="B221" s="8" t="s">
        <v>1501</v>
      </c>
      <c r="C221" s="9">
        <v>56</v>
      </c>
      <c r="D221" s="8" t="s">
        <v>66</v>
      </c>
      <c r="E221" s="8">
        <v>4</v>
      </c>
      <c r="F221" s="8" t="s">
        <v>1502</v>
      </c>
      <c r="G221" s="10" t="s">
        <v>1628</v>
      </c>
    </row>
    <row r="222" ht="14.25" spans="1:7">
      <c r="A222" s="3" t="s">
        <v>986</v>
      </c>
      <c r="B222" s="4" t="s">
        <v>1504</v>
      </c>
      <c r="C222" s="5">
        <v>62</v>
      </c>
      <c r="D222" s="4" t="s">
        <v>758</v>
      </c>
      <c r="E222" s="4">
        <v>2</v>
      </c>
      <c r="F222" s="4" t="s">
        <v>1502</v>
      </c>
      <c r="G222" s="6" t="s">
        <v>1628</v>
      </c>
    </row>
    <row r="223" ht="14.25" spans="1:7">
      <c r="A223" s="7" t="s">
        <v>986</v>
      </c>
      <c r="B223" s="8" t="s">
        <v>1506</v>
      </c>
      <c r="C223" s="9">
        <v>42</v>
      </c>
      <c r="D223" s="8" t="s">
        <v>66</v>
      </c>
      <c r="E223" s="8">
        <v>5</v>
      </c>
      <c r="F223" s="8" t="s">
        <v>1502</v>
      </c>
      <c r="G223" s="10" t="s">
        <v>1629</v>
      </c>
    </row>
    <row r="224" ht="14.25" spans="1:7">
      <c r="A224" s="3" t="s">
        <v>986</v>
      </c>
      <c r="B224" s="4" t="s">
        <v>1508</v>
      </c>
      <c r="C224" s="5">
        <v>62</v>
      </c>
      <c r="D224" s="4" t="s">
        <v>758</v>
      </c>
      <c r="E224" s="4">
        <v>2</v>
      </c>
      <c r="F224" s="4" t="s">
        <v>1502</v>
      </c>
      <c r="G224" s="6" t="s">
        <v>1630</v>
      </c>
    </row>
    <row r="225" ht="14.25" spans="1:7">
      <c r="A225" s="7" t="s">
        <v>986</v>
      </c>
      <c r="B225" s="8" t="s">
        <v>1510</v>
      </c>
      <c r="C225" s="9">
        <v>65</v>
      </c>
      <c r="D225" s="8" t="s">
        <v>758</v>
      </c>
      <c r="E225" s="8">
        <v>1</v>
      </c>
      <c r="F225" s="8" t="s">
        <v>1516</v>
      </c>
      <c r="G225" s="10" t="s">
        <v>1630</v>
      </c>
    </row>
    <row r="226" ht="14.25" spans="1:7">
      <c r="A226" s="3" t="s">
        <v>986</v>
      </c>
      <c r="B226" s="4" t="s">
        <v>1512</v>
      </c>
      <c r="C226" s="5">
        <v>57</v>
      </c>
      <c r="D226" s="4" t="s">
        <v>66</v>
      </c>
      <c r="E226" s="4">
        <v>3</v>
      </c>
      <c r="F226" s="4" t="s">
        <v>1502</v>
      </c>
      <c r="G226" s="6" t="s">
        <v>1631</v>
      </c>
    </row>
    <row r="227" ht="14.25" spans="1:7">
      <c r="A227" s="7" t="s">
        <v>986</v>
      </c>
      <c r="B227" s="8" t="s">
        <v>1513</v>
      </c>
      <c r="C227" s="9">
        <v>57</v>
      </c>
      <c r="D227" s="8" t="s">
        <v>66</v>
      </c>
      <c r="E227" s="8">
        <v>3</v>
      </c>
      <c r="F227" s="8" t="s">
        <v>1502</v>
      </c>
      <c r="G227" s="10" t="s">
        <v>1630</v>
      </c>
    </row>
    <row r="228" ht="14.25" spans="1:7">
      <c r="A228" s="3" t="s">
        <v>1015</v>
      </c>
      <c r="B228" s="4" t="s">
        <v>1501</v>
      </c>
      <c r="C228" s="5">
        <v>60</v>
      </c>
      <c r="D228" s="4" t="s">
        <v>758</v>
      </c>
      <c r="E228" s="4">
        <v>3</v>
      </c>
      <c r="F228" s="4" t="s">
        <v>1502</v>
      </c>
      <c r="G228" s="6" t="s">
        <v>1632</v>
      </c>
    </row>
    <row r="229" ht="14.25" spans="1:7">
      <c r="A229" s="7" t="s">
        <v>1015</v>
      </c>
      <c r="B229" s="8" t="s">
        <v>1504</v>
      </c>
      <c r="C229" s="9">
        <v>58</v>
      </c>
      <c r="D229" s="8" t="s">
        <v>66</v>
      </c>
      <c r="E229" s="8">
        <v>4</v>
      </c>
      <c r="F229" s="8" t="s">
        <v>1502</v>
      </c>
      <c r="G229" s="10" t="s">
        <v>1633</v>
      </c>
    </row>
    <row r="230" ht="14.25" spans="1:7">
      <c r="A230" s="3" t="s">
        <v>1015</v>
      </c>
      <c r="B230" s="4" t="s">
        <v>1506</v>
      </c>
      <c r="C230" s="5">
        <v>43</v>
      </c>
      <c r="D230" s="4" t="s">
        <v>66</v>
      </c>
      <c r="E230" s="4">
        <v>6</v>
      </c>
      <c r="F230" s="4" t="s">
        <v>1502</v>
      </c>
      <c r="G230" s="6" t="s">
        <v>1634</v>
      </c>
    </row>
    <row r="231" ht="14.25" spans="1:7">
      <c r="A231" s="7" t="s">
        <v>1015</v>
      </c>
      <c r="B231" s="8" t="s">
        <v>1508</v>
      </c>
      <c r="C231" s="9">
        <v>49</v>
      </c>
      <c r="D231" s="8" t="s">
        <v>66</v>
      </c>
      <c r="E231" s="8">
        <v>5</v>
      </c>
      <c r="F231" s="8" t="s">
        <v>1502</v>
      </c>
      <c r="G231" s="10" t="s">
        <v>1634</v>
      </c>
    </row>
    <row r="232" ht="14.25" spans="1:7">
      <c r="A232" s="3" t="s">
        <v>1015</v>
      </c>
      <c r="B232" s="4" t="s">
        <v>1510</v>
      </c>
      <c r="C232" s="5">
        <v>95</v>
      </c>
      <c r="D232" s="4" t="s">
        <v>98</v>
      </c>
      <c r="E232" s="4">
        <v>1</v>
      </c>
      <c r="F232" s="4" t="s">
        <v>1516</v>
      </c>
      <c r="G232" s="6" t="s">
        <v>1632</v>
      </c>
    </row>
    <row r="233" ht="14.25" spans="1:7">
      <c r="A233" s="7" t="s">
        <v>1015</v>
      </c>
      <c r="B233" s="8" t="s">
        <v>1512</v>
      </c>
      <c r="C233" s="9">
        <v>38</v>
      </c>
      <c r="D233" s="8" t="s">
        <v>1112</v>
      </c>
      <c r="E233" s="8">
        <v>8</v>
      </c>
      <c r="F233" s="8" t="s">
        <v>1502</v>
      </c>
      <c r="G233" s="10" t="s">
        <v>1635</v>
      </c>
    </row>
    <row r="234" ht="14.25" spans="1:7">
      <c r="A234" s="3" t="s">
        <v>1015</v>
      </c>
      <c r="B234" s="4" t="s">
        <v>1513</v>
      </c>
      <c r="C234" s="5">
        <v>63</v>
      </c>
      <c r="D234" s="4" t="s">
        <v>758</v>
      </c>
      <c r="E234" s="4">
        <v>2</v>
      </c>
      <c r="F234" s="4" t="s">
        <v>1502</v>
      </c>
      <c r="G234" s="6" t="s">
        <v>1635</v>
      </c>
    </row>
    <row r="235" ht="14.25" spans="1:7">
      <c r="A235" s="7" t="s">
        <v>1015</v>
      </c>
      <c r="B235" s="8" t="s">
        <v>1514</v>
      </c>
      <c r="C235" s="9">
        <v>40</v>
      </c>
      <c r="D235" s="8" t="s">
        <v>66</v>
      </c>
      <c r="E235" s="8">
        <v>7</v>
      </c>
      <c r="F235" s="8" t="s">
        <v>1502</v>
      </c>
      <c r="G235" s="10" t="s">
        <v>1636</v>
      </c>
    </row>
    <row r="236" ht="14.25" spans="1:7">
      <c r="A236" s="3" t="s">
        <v>1047</v>
      </c>
      <c r="B236" s="4" t="s">
        <v>1501</v>
      </c>
      <c r="C236" s="5">
        <v>95</v>
      </c>
      <c r="D236" s="4" t="s">
        <v>98</v>
      </c>
      <c r="E236" s="4">
        <v>1</v>
      </c>
      <c r="F236" s="4" t="s">
        <v>1516</v>
      </c>
      <c r="G236" s="6" t="s">
        <v>1637</v>
      </c>
    </row>
    <row r="237" ht="14.25" spans="1:7">
      <c r="A237" s="7" t="s">
        <v>1047</v>
      </c>
      <c r="B237" s="8" t="s">
        <v>1504</v>
      </c>
      <c r="C237" s="9">
        <v>75</v>
      </c>
      <c r="D237" s="8" t="s">
        <v>758</v>
      </c>
      <c r="E237" s="8">
        <v>2</v>
      </c>
      <c r="F237" s="8" t="s">
        <v>1502</v>
      </c>
      <c r="G237" s="10" t="s">
        <v>1638</v>
      </c>
    </row>
    <row r="238" ht="14.25" spans="1:7">
      <c r="A238" s="3" t="s">
        <v>1047</v>
      </c>
      <c r="B238" s="4" t="s">
        <v>1506</v>
      </c>
      <c r="C238" s="5">
        <v>69</v>
      </c>
      <c r="D238" s="4" t="s">
        <v>758</v>
      </c>
      <c r="E238" s="4">
        <v>3</v>
      </c>
      <c r="F238" s="4" t="s">
        <v>1502</v>
      </c>
      <c r="G238" s="6" t="s">
        <v>1639</v>
      </c>
    </row>
    <row r="239" ht="14.25" spans="1:7">
      <c r="A239" s="7" t="s">
        <v>1072</v>
      </c>
      <c r="B239" s="8" t="s">
        <v>1501</v>
      </c>
      <c r="C239" s="9">
        <v>99</v>
      </c>
      <c r="D239" s="8" t="s">
        <v>98</v>
      </c>
      <c r="E239" s="8">
        <v>1</v>
      </c>
      <c r="F239" s="8" t="s">
        <v>1516</v>
      </c>
      <c r="G239" s="10" t="s">
        <v>1640</v>
      </c>
    </row>
    <row r="240" ht="14.25" spans="1:7">
      <c r="A240" s="3" t="s">
        <v>1072</v>
      </c>
      <c r="B240" s="4" t="s">
        <v>1504</v>
      </c>
      <c r="C240" s="5">
        <v>99</v>
      </c>
      <c r="D240" s="4" t="s">
        <v>98</v>
      </c>
      <c r="E240" s="4">
        <v>1</v>
      </c>
      <c r="F240" s="4" t="s">
        <v>1516</v>
      </c>
      <c r="G240" s="6" t="s">
        <v>1641</v>
      </c>
    </row>
    <row r="241" ht="14.25" spans="1:7">
      <c r="A241" s="7" t="s">
        <v>1094</v>
      </c>
      <c r="B241" s="8" t="s">
        <v>1501</v>
      </c>
      <c r="C241" s="9">
        <v>31</v>
      </c>
      <c r="D241" s="8" t="s">
        <v>1112</v>
      </c>
      <c r="E241" s="8">
        <v>3</v>
      </c>
      <c r="F241" s="8" t="s">
        <v>1502</v>
      </c>
      <c r="G241" s="10" t="s">
        <v>1642</v>
      </c>
    </row>
    <row r="242" ht="14.25" spans="1:7">
      <c r="A242" s="3" t="s">
        <v>1094</v>
      </c>
      <c r="B242" s="4" t="s">
        <v>1504</v>
      </c>
      <c r="C242" s="5">
        <v>11</v>
      </c>
      <c r="D242" s="4" t="s">
        <v>1112</v>
      </c>
      <c r="E242" s="4">
        <v>7</v>
      </c>
      <c r="F242" s="4" t="s">
        <v>1502</v>
      </c>
      <c r="G242" s="6" t="s">
        <v>1643</v>
      </c>
    </row>
    <row r="243" ht="14.25" spans="1:7">
      <c r="A243" s="7" t="s">
        <v>1094</v>
      </c>
      <c r="B243" s="8" t="s">
        <v>1506</v>
      </c>
      <c r="C243" s="9">
        <v>11</v>
      </c>
      <c r="D243" s="8" t="s">
        <v>1112</v>
      </c>
      <c r="E243" s="8">
        <v>7</v>
      </c>
      <c r="F243" s="8" t="s">
        <v>1502</v>
      </c>
      <c r="G243" s="10" t="s">
        <v>1643</v>
      </c>
    </row>
    <row r="244" ht="14.25" spans="1:7">
      <c r="A244" s="3" t="s">
        <v>1094</v>
      </c>
      <c r="B244" s="4" t="s">
        <v>1508</v>
      </c>
      <c r="C244" s="5">
        <v>18</v>
      </c>
      <c r="D244" s="4" t="s">
        <v>1112</v>
      </c>
      <c r="E244" s="4">
        <v>6</v>
      </c>
      <c r="F244" s="4" t="s">
        <v>1502</v>
      </c>
      <c r="G244" s="6" t="s">
        <v>1643</v>
      </c>
    </row>
    <row r="245" ht="14.25" spans="1:7">
      <c r="A245" s="7" t="s">
        <v>1094</v>
      </c>
      <c r="B245" s="8" t="s">
        <v>1510</v>
      </c>
      <c r="C245" s="9">
        <v>11</v>
      </c>
      <c r="D245" s="8" t="s">
        <v>1112</v>
      </c>
      <c r="E245" s="8">
        <v>7</v>
      </c>
      <c r="F245" s="8" t="s">
        <v>1502</v>
      </c>
      <c r="G245" s="10" t="s">
        <v>1643</v>
      </c>
    </row>
    <row r="246" ht="14.25" spans="1:7">
      <c r="A246" s="3" t="s">
        <v>1094</v>
      </c>
      <c r="B246" s="4" t="s">
        <v>1512</v>
      </c>
      <c r="C246" s="5">
        <v>18</v>
      </c>
      <c r="D246" s="4" t="s">
        <v>1112</v>
      </c>
      <c r="E246" s="4">
        <v>6</v>
      </c>
      <c r="F246" s="4" t="s">
        <v>1502</v>
      </c>
      <c r="G246" s="6" t="s">
        <v>1643</v>
      </c>
    </row>
    <row r="247" ht="14.25" spans="1:7">
      <c r="A247" s="7" t="s">
        <v>1094</v>
      </c>
      <c r="B247" s="8" t="s">
        <v>1513</v>
      </c>
      <c r="C247" s="9">
        <v>19</v>
      </c>
      <c r="D247" s="8" t="s">
        <v>1112</v>
      </c>
      <c r="E247" s="8">
        <v>5</v>
      </c>
      <c r="F247" s="8" t="s">
        <v>1502</v>
      </c>
      <c r="G247" s="10" t="s">
        <v>1643</v>
      </c>
    </row>
    <row r="248" ht="14.25" spans="1:7">
      <c r="A248" s="3" t="s">
        <v>1094</v>
      </c>
      <c r="B248" s="4" t="s">
        <v>1514</v>
      </c>
      <c r="C248" s="5">
        <v>39</v>
      </c>
      <c r="D248" s="4" t="s">
        <v>1112</v>
      </c>
      <c r="E248" s="4">
        <v>2</v>
      </c>
      <c r="F248" s="4" t="s">
        <v>1502</v>
      </c>
      <c r="G248" s="6" t="s">
        <v>1644</v>
      </c>
    </row>
    <row r="249" ht="14.25" spans="1:7">
      <c r="A249" s="7" t="s">
        <v>1094</v>
      </c>
      <c r="B249" s="8" t="s">
        <v>1515</v>
      </c>
      <c r="C249" s="9">
        <v>45</v>
      </c>
      <c r="D249" s="8" t="s">
        <v>66</v>
      </c>
      <c r="E249" s="8">
        <v>1</v>
      </c>
      <c r="F249" s="8" t="s">
        <v>1516</v>
      </c>
      <c r="G249" s="10" t="s">
        <v>1645</v>
      </c>
    </row>
    <row r="250" ht="14.25" spans="1:7">
      <c r="A250" s="3" t="s">
        <v>1094</v>
      </c>
      <c r="B250" s="4" t="s">
        <v>1518</v>
      </c>
      <c r="C250" s="5">
        <v>25</v>
      </c>
      <c r="D250" s="4" t="s">
        <v>1112</v>
      </c>
      <c r="E250" s="4">
        <v>4</v>
      </c>
      <c r="F250" s="4" t="s">
        <v>1502</v>
      </c>
      <c r="G250" s="6" t="s">
        <v>1646</v>
      </c>
    </row>
    <row r="251" ht="14.25" spans="1:7">
      <c r="A251" s="7" t="s">
        <v>1121</v>
      </c>
      <c r="B251" s="8" t="s">
        <v>1501</v>
      </c>
      <c r="C251" s="9">
        <v>95</v>
      </c>
      <c r="D251" s="8" t="s">
        <v>98</v>
      </c>
      <c r="E251" s="8">
        <v>1</v>
      </c>
      <c r="F251" s="8" t="s">
        <v>1516</v>
      </c>
      <c r="G251" s="10" t="s">
        <v>1647</v>
      </c>
    </row>
    <row r="252" ht="14.25" spans="1:7">
      <c r="A252" s="3" t="s">
        <v>1121</v>
      </c>
      <c r="B252" s="4" t="s">
        <v>1504</v>
      </c>
      <c r="C252" s="5">
        <v>60</v>
      </c>
      <c r="D252" s="4" t="s">
        <v>758</v>
      </c>
      <c r="E252" s="4">
        <v>3</v>
      </c>
      <c r="F252" s="4" t="s">
        <v>1502</v>
      </c>
      <c r="G252" s="6" t="s">
        <v>1648</v>
      </c>
    </row>
    <row r="253" ht="14.25" spans="1:7">
      <c r="A253" s="7" t="s">
        <v>1121</v>
      </c>
      <c r="B253" s="8" t="s">
        <v>1506</v>
      </c>
      <c r="C253" s="9">
        <v>43</v>
      </c>
      <c r="D253" s="8" t="s">
        <v>66</v>
      </c>
      <c r="E253" s="8">
        <v>5</v>
      </c>
      <c r="F253" s="8" t="s">
        <v>1502</v>
      </c>
      <c r="G253" s="10" t="s">
        <v>1648</v>
      </c>
    </row>
    <row r="254" ht="14.25" spans="1:7">
      <c r="A254" s="3" t="s">
        <v>1121</v>
      </c>
      <c r="B254" s="4" t="s">
        <v>1508</v>
      </c>
      <c r="C254" s="5">
        <v>49</v>
      </c>
      <c r="D254" s="4" t="s">
        <v>66</v>
      </c>
      <c r="E254" s="4">
        <v>4</v>
      </c>
      <c r="F254" s="4" t="s">
        <v>1502</v>
      </c>
      <c r="G254" s="6" t="s">
        <v>1648</v>
      </c>
    </row>
    <row r="255" ht="14.25" spans="1:7">
      <c r="A255" s="7" t="s">
        <v>1121</v>
      </c>
      <c r="B255" s="8" t="s">
        <v>1510</v>
      </c>
      <c r="C255" s="9">
        <v>62</v>
      </c>
      <c r="D255" s="8" t="s">
        <v>758</v>
      </c>
      <c r="E255" s="8">
        <v>2</v>
      </c>
      <c r="F255" s="8" t="s">
        <v>1502</v>
      </c>
      <c r="G255" s="10" t="s">
        <v>1649</v>
      </c>
    </row>
    <row r="256" ht="14.25" spans="1:7">
      <c r="A256" s="3" t="s">
        <v>1147</v>
      </c>
      <c r="B256" s="4" t="s">
        <v>1501</v>
      </c>
      <c r="C256" s="5">
        <v>95</v>
      </c>
      <c r="D256" s="4" t="s">
        <v>98</v>
      </c>
      <c r="E256" s="4">
        <v>1</v>
      </c>
      <c r="F256" s="4" t="s">
        <v>1516</v>
      </c>
      <c r="G256" s="6" t="s">
        <v>1650</v>
      </c>
    </row>
    <row r="257" ht="14.25" spans="1:7">
      <c r="A257" s="7" t="s">
        <v>1147</v>
      </c>
      <c r="B257" s="8" t="s">
        <v>1504</v>
      </c>
      <c r="C257" s="9">
        <v>95</v>
      </c>
      <c r="D257" s="8" t="s">
        <v>98</v>
      </c>
      <c r="E257" s="8">
        <v>1</v>
      </c>
      <c r="F257" s="8" t="s">
        <v>1516</v>
      </c>
      <c r="G257" s="10" t="s">
        <v>1650</v>
      </c>
    </row>
    <row r="258" ht="14.25" spans="1:7">
      <c r="A258" s="3" t="s">
        <v>1147</v>
      </c>
      <c r="B258" s="4" t="s">
        <v>1506</v>
      </c>
      <c r="C258" s="5">
        <v>66</v>
      </c>
      <c r="D258" s="4" t="s">
        <v>758</v>
      </c>
      <c r="E258" s="4">
        <v>2</v>
      </c>
      <c r="F258" s="4" t="s">
        <v>1502</v>
      </c>
      <c r="G258" s="6" t="s">
        <v>1651</v>
      </c>
    </row>
    <row r="259" ht="14.25" spans="1:7">
      <c r="A259" s="7" t="s">
        <v>1170</v>
      </c>
      <c r="B259" s="8" t="s">
        <v>1501</v>
      </c>
      <c r="C259" s="9">
        <v>60</v>
      </c>
      <c r="D259" s="8" t="s">
        <v>758</v>
      </c>
      <c r="E259" s="8">
        <v>2</v>
      </c>
      <c r="F259" s="8" t="s">
        <v>1502</v>
      </c>
      <c r="G259" s="10" t="s">
        <v>1652</v>
      </c>
    </row>
    <row r="260" ht="14.25" spans="1:7">
      <c r="A260" s="3" t="s">
        <v>1170</v>
      </c>
      <c r="B260" s="4" t="s">
        <v>1504</v>
      </c>
      <c r="C260" s="5">
        <v>61</v>
      </c>
      <c r="D260" s="4" t="s">
        <v>758</v>
      </c>
      <c r="E260" s="4">
        <v>1</v>
      </c>
      <c r="F260" s="4" t="s">
        <v>1516</v>
      </c>
      <c r="G260" s="6" t="s">
        <v>1652</v>
      </c>
    </row>
    <row r="261" ht="14.25" spans="1:7">
      <c r="A261" s="7" t="s">
        <v>1170</v>
      </c>
      <c r="B261" s="8" t="s">
        <v>1506</v>
      </c>
      <c r="C261" s="9">
        <v>53</v>
      </c>
      <c r="D261" s="8" t="s">
        <v>66</v>
      </c>
      <c r="E261" s="8">
        <v>3</v>
      </c>
      <c r="F261" s="8" t="s">
        <v>1502</v>
      </c>
      <c r="G261" s="10" t="s">
        <v>1653</v>
      </c>
    </row>
    <row r="262" ht="14.25" spans="1:7">
      <c r="A262" s="3" t="s">
        <v>1170</v>
      </c>
      <c r="B262" s="4" t="s">
        <v>1508</v>
      </c>
      <c r="C262" s="5">
        <v>61</v>
      </c>
      <c r="D262" s="4" t="s">
        <v>758</v>
      </c>
      <c r="E262" s="4">
        <v>1</v>
      </c>
      <c r="F262" s="4" t="s">
        <v>1516</v>
      </c>
      <c r="G262" s="6" t="s">
        <v>1653</v>
      </c>
    </row>
    <row r="263" ht="14.25" spans="1:7">
      <c r="A263" s="7" t="s">
        <v>1170</v>
      </c>
      <c r="B263" s="8" t="s">
        <v>1510</v>
      </c>
      <c r="C263" s="9">
        <v>14</v>
      </c>
      <c r="D263" s="8" t="s">
        <v>1112</v>
      </c>
      <c r="E263" s="8">
        <v>4</v>
      </c>
      <c r="F263" s="8" t="s">
        <v>1502</v>
      </c>
      <c r="G263" s="10" t="s">
        <v>1653</v>
      </c>
    </row>
    <row r="264" ht="14.25" spans="1:7">
      <c r="A264" s="3" t="s">
        <v>1201</v>
      </c>
      <c r="B264" s="4" t="s">
        <v>1501</v>
      </c>
      <c r="C264" s="5">
        <v>99</v>
      </c>
      <c r="D264" s="4" t="s">
        <v>98</v>
      </c>
      <c r="E264" s="4">
        <v>1</v>
      </c>
      <c r="F264" s="4" t="s">
        <v>1516</v>
      </c>
      <c r="G264" s="6" t="s">
        <v>1654</v>
      </c>
    </row>
    <row r="265" ht="14.25" spans="1:7">
      <c r="A265" s="7" t="s">
        <v>1201</v>
      </c>
      <c r="B265" s="8" t="s">
        <v>1504</v>
      </c>
      <c r="C265" s="9">
        <v>99</v>
      </c>
      <c r="D265" s="8" t="s">
        <v>98</v>
      </c>
      <c r="E265" s="8">
        <v>1</v>
      </c>
      <c r="F265" s="8" t="s">
        <v>1516</v>
      </c>
      <c r="G265" s="10" t="s">
        <v>1655</v>
      </c>
    </row>
    <row r="266" ht="14.25" spans="1:7">
      <c r="A266" s="3" t="s">
        <v>1201</v>
      </c>
      <c r="B266" s="4" t="s">
        <v>1506</v>
      </c>
      <c r="C266" s="5">
        <v>64</v>
      </c>
      <c r="D266" s="4" t="s">
        <v>758</v>
      </c>
      <c r="E266" s="4">
        <v>2</v>
      </c>
      <c r="F266" s="4" t="s">
        <v>1502</v>
      </c>
      <c r="G266" s="6" t="s">
        <v>1656</v>
      </c>
    </row>
    <row r="267" ht="14.25" spans="1:7">
      <c r="A267" s="7" t="s">
        <v>1201</v>
      </c>
      <c r="B267" s="8" t="s">
        <v>1508</v>
      </c>
      <c r="C267" s="9">
        <v>14</v>
      </c>
      <c r="D267" s="8" t="s">
        <v>1112</v>
      </c>
      <c r="E267" s="8">
        <v>3</v>
      </c>
      <c r="F267" s="8" t="s">
        <v>1502</v>
      </c>
      <c r="G267" s="10" t="s">
        <v>1656</v>
      </c>
    </row>
    <row r="268" ht="14.25" spans="1:7">
      <c r="A268" s="3" t="s">
        <v>1226</v>
      </c>
      <c r="B268" s="4" t="s">
        <v>1501</v>
      </c>
      <c r="C268" s="5">
        <v>95</v>
      </c>
      <c r="D268" s="4" t="s">
        <v>98</v>
      </c>
      <c r="E268" s="4">
        <v>1</v>
      </c>
      <c r="F268" s="4" t="s">
        <v>1516</v>
      </c>
      <c r="G268" s="6" t="s">
        <v>1657</v>
      </c>
    </row>
    <row r="269" ht="14.25" spans="1:7">
      <c r="A269" s="7" t="s">
        <v>1226</v>
      </c>
      <c r="B269" s="8" t="s">
        <v>1504</v>
      </c>
      <c r="C269" s="9">
        <v>14</v>
      </c>
      <c r="D269" s="8" t="s">
        <v>1112</v>
      </c>
      <c r="E269" s="8">
        <v>2</v>
      </c>
      <c r="F269" s="8" t="s">
        <v>1502</v>
      </c>
      <c r="G269" s="10" t="s">
        <v>1658</v>
      </c>
    </row>
    <row r="270" ht="14.25" spans="1:7">
      <c r="A270" s="3" t="s">
        <v>1249</v>
      </c>
      <c r="B270" s="4" t="s">
        <v>1501</v>
      </c>
      <c r="C270" s="5">
        <v>92</v>
      </c>
      <c r="D270" s="4" t="s">
        <v>235</v>
      </c>
      <c r="E270" s="4">
        <v>1</v>
      </c>
      <c r="F270" s="4" t="s">
        <v>1516</v>
      </c>
      <c r="G270" s="6" t="s">
        <v>1659</v>
      </c>
    </row>
    <row r="271" ht="14.25" spans="1:7">
      <c r="A271" s="7" t="s">
        <v>1249</v>
      </c>
      <c r="B271" s="8" t="s">
        <v>1504</v>
      </c>
      <c r="C271" s="9">
        <v>14</v>
      </c>
      <c r="D271" s="8" t="s">
        <v>1112</v>
      </c>
      <c r="E271" s="8">
        <v>2</v>
      </c>
      <c r="F271" s="8" t="s">
        <v>1502</v>
      </c>
      <c r="G271" s="10" t="s">
        <v>1660</v>
      </c>
    </row>
    <row r="272" ht="14.25" spans="1:7">
      <c r="A272" s="3" t="s">
        <v>1274</v>
      </c>
      <c r="B272" s="4" t="s">
        <v>1501</v>
      </c>
      <c r="C272" s="5">
        <v>95</v>
      </c>
      <c r="D272" s="4" t="s">
        <v>98</v>
      </c>
      <c r="E272" s="4">
        <v>1</v>
      </c>
      <c r="F272" s="4" t="s">
        <v>1516</v>
      </c>
      <c r="G272" s="6" t="s">
        <v>1661</v>
      </c>
    </row>
    <row r="273" ht="14.25" spans="1:7">
      <c r="A273" s="7" t="s">
        <v>1274</v>
      </c>
      <c r="B273" s="8" t="s">
        <v>1504</v>
      </c>
      <c r="C273" s="9">
        <v>95</v>
      </c>
      <c r="D273" s="8" t="s">
        <v>98</v>
      </c>
      <c r="E273" s="8">
        <v>1</v>
      </c>
      <c r="F273" s="8" t="s">
        <v>1516</v>
      </c>
      <c r="G273" s="10" t="s">
        <v>1662</v>
      </c>
    </row>
    <row r="274" ht="14.25" spans="1:7">
      <c r="A274" s="3" t="s">
        <v>1274</v>
      </c>
      <c r="B274" s="4" t="s">
        <v>1506</v>
      </c>
      <c r="C274" s="5">
        <v>95</v>
      </c>
      <c r="D274" s="4" t="s">
        <v>98</v>
      </c>
      <c r="E274" s="4">
        <v>1</v>
      </c>
      <c r="F274" s="4" t="s">
        <v>1516</v>
      </c>
      <c r="G274" s="6" t="s">
        <v>1662</v>
      </c>
    </row>
    <row r="275" ht="14.25" spans="1:7">
      <c r="A275" s="7" t="s">
        <v>1274</v>
      </c>
      <c r="B275" s="8" t="s">
        <v>1508</v>
      </c>
      <c r="C275" s="9">
        <v>95</v>
      </c>
      <c r="D275" s="8" t="s">
        <v>98</v>
      </c>
      <c r="E275" s="8">
        <v>1</v>
      </c>
      <c r="F275" s="8" t="s">
        <v>1516</v>
      </c>
      <c r="G275" s="10" t="s">
        <v>1661</v>
      </c>
    </row>
    <row r="276" ht="14.25" spans="1:7">
      <c r="A276" s="3" t="s">
        <v>1298</v>
      </c>
      <c r="B276" s="4" t="s">
        <v>1501</v>
      </c>
      <c r="C276" s="5">
        <v>96</v>
      </c>
      <c r="D276" s="4" t="s">
        <v>98</v>
      </c>
      <c r="E276" s="4">
        <v>1</v>
      </c>
      <c r="F276" s="4" t="s">
        <v>1516</v>
      </c>
      <c r="G276" s="6" t="s">
        <v>1663</v>
      </c>
    </row>
    <row r="277" ht="14.25" spans="1:7">
      <c r="A277" s="7" t="s">
        <v>1298</v>
      </c>
      <c r="B277" s="8" t="s">
        <v>1504</v>
      </c>
      <c r="C277" s="9">
        <v>96</v>
      </c>
      <c r="D277" s="8" t="s">
        <v>98</v>
      </c>
      <c r="E277" s="8">
        <v>1</v>
      </c>
      <c r="F277" s="8" t="s">
        <v>1516</v>
      </c>
      <c r="G277" s="10" t="s">
        <v>1664</v>
      </c>
    </row>
    <row r="278" ht="14.25" spans="1:7">
      <c r="A278" s="3" t="s">
        <v>1298</v>
      </c>
      <c r="B278" s="4" t="s">
        <v>1506</v>
      </c>
      <c r="C278" s="5">
        <v>96</v>
      </c>
      <c r="D278" s="4" t="s">
        <v>98</v>
      </c>
      <c r="E278" s="4">
        <v>1</v>
      </c>
      <c r="F278" s="4" t="s">
        <v>1516</v>
      </c>
      <c r="G278" s="6" t="s">
        <v>1663</v>
      </c>
    </row>
    <row r="279" ht="14.25" spans="1:7">
      <c r="A279" s="7" t="s">
        <v>1298</v>
      </c>
      <c r="B279" s="8" t="s">
        <v>1508</v>
      </c>
      <c r="C279" s="9">
        <v>60</v>
      </c>
      <c r="D279" s="8" t="s">
        <v>758</v>
      </c>
      <c r="E279" s="8">
        <v>3</v>
      </c>
      <c r="F279" s="8" t="s">
        <v>1502</v>
      </c>
      <c r="G279" s="10" t="s">
        <v>1663</v>
      </c>
    </row>
    <row r="280" ht="14.25" spans="1:7">
      <c r="A280" s="3" t="s">
        <v>1298</v>
      </c>
      <c r="B280" s="4" t="s">
        <v>1510</v>
      </c>
      <c r="C280" s="5">
        <v>96</v>
      </c>
      <c r="D280" s="4" t="s">
        <v>98</v>
      </c>
      <c r="E280" s="4">
        <v>1</v>
      </c>
      <c r="F280" s="4" t="s">
        <v>1516</v>
      </c>
      <c r="G280" s="6" t="s">
        <v>1665</v>
      </c>
    </row>
    <row r="281" ht="14.25" spans="1:7">
      <c r="A281" s="7" t="s">
        <v>1298</v>
      </c>
      <c r="B281" s="8" t="s">
        <v>1512</v>
      </c>
      <c r="C281" s="9">
        <v>96</v>
      </c>
      <c r="D281" s="8" t="s">
        <v>98</v>
      </c>
      <c r="E281" s="8">
        <v>1</v>
      </c>
      <c r="F281" s="8" t="s">
        <v>1516</v>
      </c>
      <c r="G281" s="10" t="s">
        <v>1666</v>
      </c>
    </row>
    <row r="282" ht="14.25" spans="1:7">
      <c r="A282" s="3" t="s">
        <v>1298</v>
      </c>
      <c r="B282" s="4" t="s">
        <v>1513</v>
      </c>
      <c r="C282" s="5">
        <v>68</v>
      </c>
      <c r="D282" s="4" t="s">
        <v>758</v>
      </c>
      <c r="E282" s="4">
        <v>2</v>
      </c>
      <c r="F282" s="4" t="s">
        <v>1502</v>
      </c>
      <c r="G282" s="6" t="s">
        <v>1666</v>
      </c>
    </row>
    <row r="283" ht="14.25" spans="1:7">
      <c r="A283" s="7" t="s">
        <v>1298</v>
      </c>
      <c r="B283" s="8" t="s">
        <v>1514</v>
      </c>
      <c r="C283" s="9">
        <v>68</v>
      </c>
      <c r="D283" s="8" t="s">
        <v>758</v>
      </c>
      <c r="E283" s="8">
        <v>2</v>
      </c>
      <c r="F283" s="8" t="s">
        <v>1502</v>
      </c>
      <c r="G283" s="10" t="s">
        <v>1663</v>
      </c>
    </row>
    <row r="284" ht="14.25" spans="1:7">
      <c r="A284" s="3" t="s">
        <v>1298</v>
      </c>
      <c r="B284" s="4" t="s">
        <v>1515</v>
      </c>
      <c r="C284" s="5">
        <v>96</v>
      </c>
      <c r="D284" s="4" t="s">
        <v>98</v>
      </c>
      <c r="E284" s="4">
        <v>1</v>
      </c>
      <c r="F284" s="4" t="s">
        <v>1516</v>
      </c>
      <c r="G284" s="6" t="s">
        <v>1666</v>
      </c>
    </row>
    <row r="285" ht="14.25" spans="1:7">
      <c r="A285" s="7" t="s">
        <v>1298</v>
      </c>
      <c r="B285" s="8" t="s">
        <v>1518</v>
      </c>
      <c r="C285" s="9">
        <v>96</v>
      </c>
      <c r="D285" s="8" t="s">
        <v>98</v>
      </c>
      <c r="E285" s="8">
        <v>1</v>
      </c>
      <c r="F285" s="8" t="s">
        <v>1516</v>
      </c>
      <c r="G285" s="10" t="s">
        <v>1663</v>
      </c>
    </row>
    <row r="286" ht="14.25" spans="1:7">
      <c r="A286" s="3" t="s">
        <v>1321</v>
      </c>
      <c r="B286" s="4" t="s">
        <v>1501</v>
      </c>
      <c r="C286" s="5">
        <v>99</v>
      </c>
      <c r="D286" s="4" t="s">
        <v>98</v>
      </c>
      <c r="E286" s="4">
        <v>1</v>
      </c>
      <c r="F286" s="4" t="s">
        <v>1516</v>
      </c>
      <c r="G286" s="6" t="s">
        <v>1667</v>
      </c>
    </row>
    <row r="287" ht="14.25" spans="1:7">
      <c r="A287" s="7" t="s">
        <v>1321</v>
      </c>
      <c r="B287" s="8" t="s">
        <v>1504</v>
      </c>
      <c r="C287" s="9">
        <v>38</v>
      </c>
      <c r="D287" s="8" t="s">
        <v>1112</v>
      </c>
      <c r="E287" s="8">
        <v>5</v>
      </c>
      <c r="F287" s="8" t="s">
        <v>1502</v>
      </c>
      <c r="G287" s="10" t="s">
        <v>1668</v>
      </c>
    </row>
    <row r="288" ht="14.25" spans="1:7">
      <c r="A288" s="3" t="s">
        <v>1321</v>
      </c>
      <c r="B288" s="4" t="s">
        <v>1506</v>
      </c>
      <c r="C288" s="5">
        <v>61</v>
      </c>
      <c r="D288" s="4" t="s">
        <v>758</v>
      </c>
      <c r="E288" s="4">
        <v>3</v>
      </c>
      <c r="F288" s="4" t="s">
        <v>1502</v>
      </c>
      <c r="G288" s="6" t="s">
        <v>1667</v>
      </c>
    </row>
    <row r="289" ht="14.25" spans="1:7">
      <c r="A289" s="7" t="s">
        <v>1321</v>
      </c>
      <c r="B289" s="8" t="s">
        <v>1508</v>
      </c>
      <c r="C289" s="9">
        <v>52</v>
      </c>
      <c r="D289" s="8" t="s">
        <v>66</v>
      </c>
      <c r="E289" s="8">
        <v>4</v>
      </c>
      <c r="F289" s="8" t="s">
        <v>1502</v>
      </c>
      <c r="G289" s="10" t="s">
        <v>1667</v>
      </c>
    </row>
    <row r="290" ht="14.25" spans="1:7">
      <c r="A290" s="3" t="s">
        <v>1321</v>
      </c>
      <c r="B290" s="4" t="s">
        <v>1510</v>
      </c>
      <c r="C290" s="5">
        <v>64</v>
      </c>
      <c r="D290" s="4" t="s">
        <v>758</v>
      </c>
      <c r="E290" s="4">
        <v>2</v>
      </c>
      <c r="F290" s="4" t="s">
        <v>1502</v>
      </c>
      <c r="G290" s="6" t="s">
        <v>1669</v>
      </c>
    </row>
    <row r="291" ht="14.25" spans="1:7">
      <c r="A291" s="7" t="s">
        <v>1321</v>
      </c>
      <c r="B291" s="8" t="s">
        <v>1512</v>
      </c>
      <c r="C291" s="9">
        <v>14</v>
      </c>
      <c r="D291" s="8" t="s">
        <v>1112</v>
      </c>
      <c r="E291" s="8">
        <v>6</v>
      </c>
      <c r="F291" s="8" t="s">
        <v>1502</v>
      </c>
      <c r="G291" s="10" t="s">
        <v>1669</v>
      </c>
    </row>
    <row r="292" ht="14.25" spans="1:7">
      <c r="A292" s="3" t="s">
        <v>1346</v>
      </c>
      <c r="B292" s="4" t="s">
        <v>1501</v>
      </c>
      <c r="C292" s="5">
        <v>54</v>
      </c>
      <c r="D292" s="4" t="s">
        <v>66</v>
      </c>
      <c r="E292" s="4">
        <v>1</v>
      </c>
      <c r="F292" s="4" t="s">
        <v>1516</v>
      </c>
      <c r="G292" s="6" t="s">
        <v>1670</v>
      </c>
    </row>
    <row r="293" ht="14.25" spans="1:7">
      <c r="A293" s="7" t="s">
        <v>1346</v>
      </c>
      <c r="B293" s="8" t="s">
        <v>1504</v>
      </c>
      <c r="C293" s="9">
        <v>54</v>
      </c>
      <c r="D293" s="8" t="s">
        <v>66</v>
      </c>
      <c r="E293" s="8">
        <v>1</v>
      </c>
      <c r="F293" s="8" t="s">
        <v>1516</v>
      </c>
      <c r="G293" s="10" t="s">
        <v>1671</v>
      </c>
    </row>
    <row r="294" ht="14.25" spans="1:7">
      <c r="A294" s="3" t="s">
        <v>1346</v>
      </c>
      <c r="B294" s="4" t="s">
        <v>1506</v>
      </c>
      <c r="C294" s="5">
        <v>54</v>
      </c>
      <c r="D294" s="4" t="s">
        <v>66</v>
      </c>
      <c r="E294" s="4">
        <v>1</v>
      </c>
      <c r="F294" s="4" t="s">
        <v>1516</v>
      </c>
      <c r="G294" s="6" t="s">
        <v>1671</v>
      </c>
    </row>
    <row r="295" ht="14.25" spans="1:7">
      <c r="A295" s="7" t="s">
        <v>1372</v>
      </c>
      <c r="B295" s="8" t="s">
        <v>1501</v>
      </c>
      <c r="C295" s="9">
        <v>25</v>
      </c>
      <c r="D295" s="8" t="s">
        <v>1112</v>
      </c>
      <c r="E295" s="8">
        <v>1</v>
      </c>
      <c r="F295" s="8" t="s">
        <v>1516</v>
      </c>
      <c r="G295" s="10" t="s">
        <v>1672</v>
      </c>
    </row>
    <row r="296" ht="14.25" spans="1:7">
      <c r="A296" s="3" t="s">
        <v>1372</v>
      </c>
      <c r="B296" s="4" t="s">
        <v>1504</v>
      </c>
      <c r="C296" s="5">
        <v>25</v>
      </c>
      <c r="D296" s="4" t="s">
        <v>1112</v>
      </c>
      <c r="E296" s="4">
        <v>1</v>
      </c>
      <c r="F296" s="4" t="s">
        <v>1516</v>
      </c>
      <c r="G296" s="6" t="s">
        <v>1672</v>
      </c>
    </row>
    <row r="297" ht="14.25" spans="1:7">
      <c r="A297" s="7" t="s">
        <v>1404</v>
      </c>
      <c r="B297" s="8" t="s">
        <v>1501</v>
      </c>
      <c r="C297" s="9">
        <v>11</v>
      </c>
      <c r="D297" s="8" t="s">
        <v>1112</v>
      </c>
      <c r="E297" s="8">
        <v>6</v>
      </c>
      <c r="F297" s="8" t="s">
        <v>1502</v>
      </c>
      <c r="G297" s="10" t="s">
        <v>1673</v>
      </c>
    </row>
    <row r="298" ht="14.25" spans="1:7">
      <c r="A298" s="3" t="s">
        <v>1404</v>
      </c>
      <c r="B298" s="4" t="s">
        <v>1504</v>
      </c>
      <c r="C298" s="5">
        <v>40</v>
      </c>
      <c r="D298" s="4" t="s">
        <v>66</v>
      </c>
      <c r="E298" s="4">
        <v>4</v>
      </c>
      <c r="F298" s="4" t="s">
        <v>1502</v>
      </c>
      <c r="G298" s="6" t="s">
        <v>1674</v>
      </c>
    </row>
    <row r="299" ht="14.25" spans="1:7">
      <c r="A299" s="7" t="s">
        <v>1404</v>
      </c>
      <c r="B299" s="8" t="s">
        <v>1506</v>
      </c>
      <c r="C299" s="9">
        <v>14</v>
      </c>
      <c r="D299" s="8" t="s">
        <v>1112</v>
      </c>
      <c r="E299" s="8">
        <v>5</v>
      </c>
      <c r="F299" s="8" t="s">
        <v>1502</v>
      </c>
      <c r="G299" s="10" t="s">
        <v>1675</v>
      </c>
    </row>
    <row r="300" ht="14.25" spans="1:7">
      <c r="A300" s="3" t="s">
        <v>1404</v>
      </c>
      <c r="B300" s="4" t="s">
        <v>1508</v>
      </c>
      <c r="C300" s="5">
        <v>14</v>
      </c>
      <c r="D300" s="4" t="s">
        <v>1112</v>
      </c>
      <c r="E300" s="4">
        <v>5</v>
      </c>
      <c r="F300" s="4" t="s">
        <v>1502</v>
      </c>
      <c r="G300" s="6" t="s">
        <v>1674</v>
      </c>
    </row>
    <row r="301" ht="14.25" spans="1:7">
      <c r="A301" s="7" t="s">
        <v>1404</v>
      </c>
      <c r="B301" s="8" t="s">
        <v>1510</v>
      </c>
      <c r="C301" s="9">
        <v>44</v>
      </c>
      <c r="D301" s="8" t="s">
        <v>66</v>
      </c>
      <c r="E301" s="8">
        <v>2</v>
      </c>
      <c r="F301" s="8" t="s">
        <v>1502</v>
      </c>
      <c r="G301" s="10" t="s">
        <v>1675</v>
      </c>
    </row>
    <row r="302" ht="14.25" spans="1:7">
      <c r="A302" s="3" t="s">
        <v>1404</v>
      </c>
      <c r="B302" s="4" t="s">
        <v>1512</v>
      </c>
      <c r="C302" s="5">
        <v>44</v>
      </c>
      <c r="D302" s="4" t="s">
        <v>66</v>
      </c>
      <c r="E302" s="4">
        <v>2</v>
      </c>
      <c r="F302" s="4" t="s">
        <v>1502</v>
      </c>
      <c r="G302" s="6" t="s">
        <v>1676</v>
      </c>
    </row>
    <row r="303" ht="14.25" spans="1:7">
      <c r="A303" s="7" t="s">
        <v>1404</v>
      </c>
      <c r="B303" s="8" t="s">
        <v>1513</v>
      </c>
      <c r="C303" s="9">
        <v>41</v>
      </c>
      <c r="D303" s="8" t="s">
        <v>66</v>
      </c>
      <c r="E303" s="8">
        <v>3</v>
      </c>
      <c r="F303" s="8" t="s">
        <v>1502</v>
      </c>
      <c r="G303" s="10" t="s">
        <v>1675</v>
      </c>
    </row>
    <row r="304" ht="14.25" spans="1:7">
      <c r="A304" s="3" t="s">
        <v>1404</v>
      </c>
      <c r="B304" s="4" t="s">
        <v>1514</v>
      </c>
      <c r="C304" s="5">
        <v>44</v>
      </c>
      <c r="D304" s="4" t="s">
        <v>66</v>
      </c>
      <c r="E304" s="4">
        <v>2</v>
      </c>
      <c r="F304" s="4" t="s">
        <v>1502</v>
      </c>
      <c r="G304" s="6" t="s">
        <v>1676</v>
      </c>
    </row>
    <row r="305" ht="14.25" spans="1:7">
      <c r="A305" s="7" t="s">
        <v>1404</v>
      </c>
      <c r="B305" s="8" t="s">
        <v>1515</v>
      </c>
      <c r="C305" s="9">
        <v>44</v>
      </c>
      <c r="D305" s="8" t="s">
        <v>66</v>
      </c>
      <c r="E305" s="8">
        <v>2</v>
      </c>
      <c r="F305" s="8" t="s">
        <v>1502</v>
      </c>
      <c r="G305" s="10" t="s">
        <v>1677</v>
      </c>
    </row>
    <row r="306" ht="14.25" spans="1:7">
      <c r="A306" s="3" t="s">
        <v>1404</v>
      </c>
      <c r="B306" s="4" t="s">
        <v>1518</v>
      </c>
      <c r="C306" s="5">
        <v>51</v>
      </c>
      <c r="D306" s="4" t="s">
        <v>66</v>
      </c>
      <c r="E306" s="4">
        <v>1</v>
      </c>
      <c r="F306" s="4" t="s">
        <v>1516</v>
      </c>
      <c r="G306" s="6" t="s">
        <v>1676</v>
      </c>
    </row>
    <row r="307" ht="14.25" spans="1:7">
      <c r="A307" s="7" t="s">
        <v>1436</v>
      </c>
      <c r="B307" s="8" t="s">
        <v>1501</v>
      </c>
      <c r="C307" s="9">
        <v>33</v>
      </c>
      <c r="D307" s="8" t="s">
        <v>1112</v>
      </c>
      <c r="E307" s="8">
        <v>8</v>
      </c>
      <c r="F307" s="8" t="s">
        <v>1502</v>
      </c>
      <c r="G307" s="10" t="s">
        <v>1678</v>
      </c>
    </row>
    <row r="308" ht="14.25" spans="1:7">
      <c r="A308" s="3" t="s">
        <v>1436</v>
      </c>
      <c r="B308" s="4" t="s">
        <v>1504</v>
      </c>
      <c r="C308" s="5">
        <v>36</v>
      </c>
      <c r="D308" s="4" t="s">
        <v>1112</v>
      </c>
      <c r="E308" s="4">
        <v>7</v>
      </c>
      <c r="F308" s="4" t="s">
        <v>1502</v>
      </c>
      <c r="G308" s="6" t="s">
        <v>1678</v>
      </c>
    </row>
    <row r="309" ht="14.25" spans="1:7">
      <c r="A309" s="7" t="s">
        <v>1436</v>
      </c>
      <c r="B309" s="8" t="s">
        <v>1506</v>
      </c>
      <c r="C309" s="9">
        <v>59</v>
      </c>
      <c r="D309" s="8" t="s">
        <v>66</v>
      </c>
      <c r="E309" s="8">
        <v>2</v>
      </c>
      <c r="F309" s="8" t="s">
        <v>1502</v>
      </c>
      <c r="G309" s="10" t="s">
        <v>1678</v>
      </c>
    </row>
    <row r="310" ht="14.25" spans="1:7">
      <c r="A310" s="3" t="s">
        <v>1436</v>
      </c>
      <c r="B310" s="4" t="s">
        <v>1508</v>
      </c>
      <c r="C310" s="5">
        <v>60</v>
      </c>
      <c r="D310" s="4" t="s">
        <v>758</v>
      </c>
      <c r="E310" s="4">
        <v>1</v>
      </c>
      <c r="F310" s="4" t="s">
        <v>1516</v>
      </c>
      <c r="G310" s="6" t="s">
        <v>1678</v>
      </c>
    </row>
    <row r="311" ht="14.25" spans="1:7">
      <c r="A311" s="7" t="s">
        <v>1436</v>
      </c>
      <c r="B311" s="8" t="s">
        <v>1510</v>
      </c>
      <c r="C311" s="9">
        <v>32</v>
      </c>
      <c r="D311" s="8" t="s">
        <v>1112</v>
      </c>
      <c r="E311" s="8">
        <v>9</v>
      </c>
      <c r="F311" s="8" t="s">
        <v>1502</v>
      </c>
      <c r="G311" s="10" t="s">
        <v>1679</v>
      </c>
    </row>
    <row r="312" ht="14.25" spans="1:7">
      <c r="A312" s="3" t="s">
        <v>1436</v>
      </c>
      <c r="B312" s="4" t="s">
        <v>1512</v>
      </c>
      <c r="C312" s="5">
        <v>46</v>
      </c>
      <c r="D312" s="4" t="s">
        <v>66</v>
      </c>
      <c r="E312" s="4">
        <v>4</v>
      </c>
      <c r="F312" s="4" t="s">
        <v>1502</v>
      </c>
      <c r="G312" s="6" t="s">
        <v>1678</v>
      </c>
    </row>
    <row r="313" ht="14.25" spans="1:7">
      <c r="A313" s="7" t="s">
        <v>1436</v>
      </c>
      <c r="B313" s="8" t="s">
        <v>1513</v>
      </c>
      <c r="C313" s="9">
        <v>52</v>
      </c>
      <c r="D313" s="8" t="s">
        <v>66</v>
      </c>
      <c r="E313" s="8">
        <v>3</v>
      </c>
      <c r="F313" s="8" t="s">
        <v>1502</v>
      </c>
      <c r="G313" s="10" t="s">
        <v>1678</v>
      </c>
    </row>
    <row r="314" ht="14.25" spans="1:7">
      <c r="A314" s="3" t="s">
        <v>1436</v>
      </c>
      <c r="B314" s="4" t="s">
        <v>1514</v>
      </c>
      <c r="C314" s="5">
        <v>33</v>
      </c>
      <c r="D314" s="4" t="s">
        <v>1112</v>
      </c>
      <c r="E314" s="4">
        <v>8</v>
      </c>
      <c r="F314" s="4" t="s">
        <v>1502</v>
      </c>
      <c r="G314" s="6" t="s">
        <v>1679</v>
      </c>
    </row>
    <row r="315" ht="14.25" spans="1:7">
      <c r="A315" s="7" t="s">
        <v>1436</v>
      </c>
      <c r="B315" s="8" t="s">
        <v>1515</v>
      </c>
      <c r="C315" s="9">
        <v>40</v>
      </c>
      <c r="D315" s="8" t="s">
        <v>66</v>
      </c>
      <c r="E315" s="8">
        <v>6</v>
      </c>
      <c r="F315" s="8" t="s">
        <v>1502</v>
      </c>
      <c r="G315" s="10" t="s">
        <v>1678</v>
      </c>
    </row>
    <row r="316" ht="14.25" spans="1:7">
      <c r="A316" s="3" t="s">
        <v>1436</v>
      </c>
      <c r="B316" s="4" t="s">
        <v>1518</v>
      </c>
      <c r="C316" s="5">
        <v>44</v>
      </c>
      <c r="D316" s="4" t="s">
        <v>66</v>
      </c>
      <c r="E316" s="4">
        <v>5</v>
      </c>
      <c r="F316" s="4" t="s">
        <v>1502</v>
      </c>
      <c r="G316" s="6" t="s">
        <v>1678</v>
      </c>
    </row>
    <row r="317" ht="14.25" spans="1:7">
      <c r="A317" s="7" t="s">
        <v>1470</v>
      </c>
      <c r="B317" s="8" t="s">
        <v>1501</v>
      </c>
      <c r="C317" s="9">
        <v>61</v>
      </c>
      <c r="D317" s="8" t="s">
        <v>758</v>
      </c>
      <c r="E317" s="8">
        <v>1</v>
      </c>
      <c r="F317" s="8" t="s">
        <v>1516</v>
      </c>
      <c r="G317" s="10" t="s">
        <v>1680</v>
      </c>
    </row>
    <row r="318" ht="14.25" spans="1:7">
      <c r="A318" s="3" t="s">
        <v>1470</v>
      </c>
      <c r="B318" s="4" t="s">
        <v>1504</v>
      </c>
      <c r="C318" s="5">
        <v>45</v>
      </c>
      <c r="D318" s="4" t="s">
        <v>66</v>
      </c>
      <c r="E318" s="4">
        <v>3</v>
      </c>
      <c r="F318" s="4" t="s">
        <v>1502</v>
      </c>
      <c r="G318" s="6" t="s">
        <v>1681</v>
      </c>
    </row>
    <row r="319" ht="14.25" spans="1:7">
      <c r="A319" s="7" t="s">
        <v>1470</v>
      </c>
      <c r="B319" s="8" t="s">
        <v>1506</v>
      </c>
      <c r="C319" s="9">
        <v>44</v>
      </c>
      <c r="D319" s="8" t="s">
        <v>66</v>
      </c>
      <c r="E319" s="8">
        <v>4</v>
      </c>
      <c r="F319" s="8" t="s">
        <v>1502</v>
      </c>
      <c r="G319" s="10" t="s">
        <v>1680</v>
      </c>
    </row>
    <row r="320" ht="14.25" spans="1:7">
      <c r="A320" s="3" t="s">
        <v>1470</v>
      </c>
      <c r="B320" s="4" t="s">
        <v>1508</v>
      </c>
      <c r="C320" s="5">
        <v>44</v>
      </c>
      <c r="D320" s="4" t="s">
        <v>66</v>
      </c>
      <c r="E320" s="4">
        <v>4</v>
      </c>
      <c r="F320" s="4" t="s">
        <v>1502</v>
      </c>
      <c r="G320" s="6" t="s">
        <v>1680</v>
      </c>
    </row>
    <row r="321" ht="14.25" spans="1:7">
      <c r="A321" s="7" t="s">
        <v>1470</v>
      </c>
      <c r="B321" s="8" t="s">
        <v>1510</v>
      </c>
      <c r="C321" s="9">
        <v>61</v>
      </c>
      <c r="D321" s="8" t="s">
        <v>758</v>
      </c>
      <c r="E321" s="8">
        <v>1</v>
      </c>
      <c r="F321" s="8" t="s">
        <v>1516</v>
      </c>
      <c r="G321" s="10" t="s">
        <v>1680</v>
      </c>
    </row>
    <row r="322" ht="14.25" spans="1:7">
      <c r="A322" s="3" t="s">
        <v>1470</v>
      </c>
      <c r="B322" s="4" t="s">
        <v>1512</v>
      </c>
      <c r="C322" s="5">
        <v>50</v>
      </c>
      <c r="D322" s="4" t="s">
        <v>66</v>
      </c>
      <c r="E322" s="4">
        <v>2</v>
      </c>
      <c r="F322" s="4" t="s">
        <v>1502</v>
      </c>
      <c r="G322" s="6" t="s">
        <v>1682</v>
      </c>
    </row>
    <row r="323" ht="14.25" spans="1:7">
      <c r="A323" s="7" t="s">
        <v>1470</v>
      </c>
      <c r="B323" s="8" t="s">
        <v>1513</v>
      </c>
      <c r="C323" s="9">
        <v>42</v>
      </c>
      <c r="D323" s="8" t="s">
        <v>66</v>
      </c>
      <c r="E323" s="8">
        <v>5</v>
      </c>
      <c r="F323" s="8" t="s">
        <v>1502</v>
      </c>
      <c r="G323" s="10" t="s">
        <v>1682</v>
      </c>
    </row>
    <row r="324" ht="14.25" spans="1:7">
      <c r="A324" s="3" t="s">
        <v>1470</v>
      </c>
      <c r="B324" s="4" t="s">
        <v>1514</v>
      </c>
      <c r="C324" s="5">
        <v>44</v>
      </c>
      <c r="D324" s="4" t="s">
        <v>66</v>
      </c>
      <c r="E324" s="4">
        <v>4</v>
      </c>
      <c r="F324" s="4" t="s">
        <v>1502</v>
      </c>
      <c r="G324" s="6" t="s">
        <v>1683</v>
      </c>
    </row>
    <row r="325" ht="14.25" spans="1:7">
      <c r="A325" s="7" t="s">
        <v>1470</v>
      </c>
      <c r="B325" s="8" t="s">
        <v>1515</v>
      </c>
      <c r="C325" s="9">
        <v>40</v>
      </c>
      <c r="D325" s="8" t="s">
        <v>66</v>
      </c>
      <c r="E325" s="8">
        <v>6</v>
      </c>
      <c r="F325" s="8" t="s">
        <v>1502</v>
      </c>
      <c r="G325" s="10" t="s">
        <v>1682</v>
      </c>
    </row>
    <row r="326" ht="14.25" spans="1:7">
      <c r="A326" s="3" t="s">
        <v>1470</v>
      </c>
      <c r="B326" s="4" t="s">
        <v>1518</v>
      </c>
      <c r="C326" s="5">
        <v>37</v>
      </c>
      <c r="D326" s="4" t="s">
        <v>1112</v>
      </c>
      <c r="E326" s="4">
        <v>7</v>
      </c>
      <c r="F326" s="4" t="s">
        <v>1502</v>
      </c>
      <c r="G326" s="6" t="s">
        <v>1684</v>
      </c>
    </row>
  </sheetData>
  <conditionalFormatting sqref="C2:C326">
    <cfRule type="cellIs" dxfId="0" priority="1" operator="greaterThanOrEqual">
      <formula>95</formula>
    </cfRule>
    <cfRule type="cellIs" dxfId="1" priority="2" operator="between">
      <formula>80</formula>
      <formula>94</formula>
    </cfRule>
    <cfRule type="cellIs" dxfId="2" priority="3" operator="between">
      <formula>60</formula>
      <formula>79</formula>
    </cfRule>
    <cfRule type="cellIs" dxfId="3" priority="4" operator="between">
      <formula>40</formula>
      <formula>59</formula>
    </cfRule>
    <cfRule type="cellIs" dxfId="4" priority="5" operator="lessThan">
      <formula>40</formula>
    </cfRule>
  </conditionalFormatting>
  <conditionalFormatting sqref="F2:F326">
    <cfRule type="containsText" dxfId="5" priority="6" operator="between" text="是">
      <formula>NOT(ISERROR(SEARCH("是",F2)))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</dc:creator>
  <cp:lastModifiedBy>都</cp:lastModifiedBy>
  <dcterms:created xsi:type="dcterms:W3CDTF">2026-08-24T16:21:00Z</dcterms:created>
  <dcterms:modified xsi:type="dcterms:W3CDTF">2026-08-25T04:06:51Z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257F485E6E554F6395F48CE506FB8BFD_11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