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physics_datset_MDSR_top1_shared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<sst xmlns="http://schemas.openxmlformats.org/spreadsheetml/2006/main" count="2073" uniqueCount="1928">
  <si>
    <t>ID</t>
  </si>
  <si>
    <t>TopRank</t>
  </si>
  <si>
    <t>ModelName</t>
  </si>
  <si>
    <t>OriginalFormula</t>
  </si>
  <si>
    <t>GenerationFormula</t>
  </si>
  <si>
    <t>Target</t>
  </si>
  <si>
    <t>IndependentVars</t>
  </si>
  <si>
    <t>ParameterRange</t>
  </si>
  <si>
    <t>FixedConstantValues</t>
  </si>
  <si>
    <t>simpFormula</t>
  </si>
  <si>
    <t>para_eq</t>
  </si>
  <si>
    <t>orgpara_list</t>
  </si>
  <si>
    <t>para_list</t>
  </si>
  <si>
    <t>shared_fit_mse_0_7</t>
  </si>
  <si>
    <t>shared_fit_mse_hmean_0_7</t>
  </si>
  <si>
    <t>shared_fit_r2_0_7</t>
  </si>
  <si>
    <t>complexity</t>
  </si>
  <si>
    <t>loss</t>
  </si>
  <si>
    <t>score</t>
  </si>
  <si>
    <t>dataset</t>
  </si>
  <si>
    <t>structure_similarity_score</t>
  </si>
  <si>
    <t>structure_similarity_level</t>
  </si>
  <si>
    <t>WASS_0_MSE</t>
  </si>
  <si>
    <t>WASS_0_NMSE</t>
  </si>
  <si>
    <t>WASS_0_R2</t>
  </si>
  <si>
    <t>WASS_025_MSE</t>
  </si>
  <si>
    <t>WASS_025_NMSE</t>
  </si>
  <si>
    <t>WASS_025_R2</t>
  </si>
  <si>
    <t>WASS_04_MSE</t>
  </si>
  <si>
    <t>WASS_04_NMSE</t>
  </si>
  <si>
    <t>WASS_04_R2</t>
  </si>
  <si>
    <t>noise_0_MSE</t>
  </si>
  <si>
    <t>noise_0_NMSE</t>
  </si>
  <si>
    <t>noise_0_R2</t>
  </si>
  <si>
    <t>noise_001_MSE</t>
  </si>
  <si>
    <t>noise_001_NMSE</t>
  </si>
  <si>
    <t>noise_001_R2</t>
  </si>
  <si>
    <t>noise_003_MSE</t>
  </si>
  <si>
    <t>noise_003_NMSE</t>
  </si>
  <si>
    <t>noise_003_R2</t>
  </si>
  <si>
    <t>noise_005_MSE</t>
  </si>
  <si>
    <t>noise_005_NMSE</t>
  </si>
  <si>
    <t>noise_005_R2</t>
  </si>
  <si>
    <t>noise_01_MSE</t>
  </si>
  <si>
    <t>noise_01_NMSE</t>
  </si>
  <si>
    <t>noise_01_R2</t>
  </si>
  <si>
    <t>P01</t>
  </si>
  <si>
    <t>I.48.2_1_0</t>
  </si>
  <si>
    <t>E_n = m*c**2/sqrt(1-v**2/c**2)</t>
  </si>
  <si>
    <t>c*sqrt(1 - c**4*m**2/E_n**2)</t>
  </si>
  <si>
    <t>v</t>
  </si>
  <si>
    <t>E_n</t>
  </si>
  <si>
    <t>m=[1, 5]</t>
  </si>
  <si>
    <t>c=6.5</t>
  </si>
  <si>
    <t>6.5*sqrt(1 - 1785.0625*m**2/E_n**2)</t>
  </si>
  <si>
    <t>E_n*(p4 + p5*sin(E_n + p6)) + p0 + p1*cos(E_n*p2)**p3</t>
  </si>
  <si>
    <t>[-2.35505320000000, -0.624179100000000, 0.0269825612246456, -1, 0.0293442630000000, -1.41445070000000e-5, 0.486402630000000]</t>
  </si>
  <si>
    <t>[p0, p1, p2, p3, p4, p5, p6]</t>
  </si>
  <si>
    <t>1.496229375191973</t>
  </si>
  <si>
    <t>0.008793985050629</t>
  </si>
  <si>
    <t>0.0003057988765794</t>
  </si>
  <si>
    <t>0.14338100568345974</t>
  </si>
  <si>
    <t>1.8093251336407077</t>
  </si>
  <si>
    <t>0.07113350254713127</t>
  </si>
  <si>
    <t>0.9024930169862624</t>
  </si>
  <si>
    <t>0.0975069830137377</t>
  </si>
  <si>
    <t>0.04082206488049684</t>
  </si>
  <si>
    <t>0.5168677329578365</t>
  </si>
  <si>
    <t>0.4831322670421635</t>
  </si>
  <si>
    <t>0.048170992258904755</t>
  </si>
  <si>
    <t>0.6027825338708277</t>
  </si>
  <si>
    <t>0.3972174661291722</t>
  </si>
  <si>
    <t>0.03923893421128289</t>
  </si>
  <si>
    <t>0.4908701409723503</t>
  </si>
  <si>
    <t>0.5091298590276497</t>
  </si>
  <si>
    <t>0.04992838252410837</t>
  </si>
  <si>
    <t>0.6065176834023875</t>
  </si>
  <si>
    <t>0.3934823165976124</t>
  </si>
  <si>
    <t>0.05706188733753024</t>
  </si>
  <si>
    <t>0.6648532252094242</t>
  </si>
  <si>
    <t>0.33514677479057575</t>
  </si>
  <si>
    <t>0.07511564741307132</t>
  </si>
  <si>
    <t>0.7098135999677481</t>
  </si>
  <si>
    <t>0.2901864000322519</t>
  </si>
  <si>
    <t>P02</t>
  </si>
  <si>
    <t>III.15.14_1_0</t>
  </si>
  <si>
    <t>m = (h/(2*pi))**2/(2*E_n*d**2)</t>
  </si>
  <si>
    <t>h**2/(8*pi**2*d**2*m)</t>
  </si>
  <si>
    <t>d</t>
  </si>
  <si>
    <t>m=[0.02, 0.08]</t>
  </si>
  <si>
    <t>h=3; pi=3.14159</t>
  </si>
  <si>
    <t>0.113986524158145/(d**2*m)</t>
  </si>
  <si>
    <t>d**p1*p0*(d + d**p1*p2*sin(p3 + p4*log(d)**p1)*atan(d)**p1)**p1</t>
  </si>
  <si>
    <t>[2.77957940000000, -1, -0.00698611050000000, 1.26819570000000, -0.991004500000000]</t>
  </si>
  <si>
    <t>[p0, p1, p2, p3, p4]</t>
  </si>
  <si>
    <t>0.0005251650939785</t>
  </si>
  <si>
    <t>0.0003609636210184</t>
  </si>
  <si>
    <t>0.9982430691918618</t>
  </si>
  <si>
    <t>0.0010178501337853</t>
  </si>
  <si>
    <t>2.1121661046510838e-23</t>
  </si>
  <si>
    <t>1.022608510668963e-22</t>
  </si>
  <si>
    <t>1.294566039303936e-22</t>
  </si>
  <si>
    <t>2.140241926902557e-20</t>
  </si>
  <si>
    <t>1.9959459644841523e-22</t>
  </si>
  <si>
    <t>7.137350637445495e-20</t>
  </si>
  <si>
    <t>1.8782925231920192e-23</t>
  </si>
  <si>
    <t>8.573804010820681e-23</t>
  </si>
  <si>
    <t>5.521734099913955e-05</t>
  </si>
  <si>
    <t>0.00019463836087894168</t>
  </si>
  <si>
    <t>0.9998053616391211</t>
  </si>
  <si>
    <t>0.0005083737273768162</t>
  </si>
  <si>
    <t>0.0017306272801670811</t>
  </si>
  <si>
    <t>0.998269372719833</t>
  </si>
  <si>
    <t>0.0013827054891564282</t>
  </si>
  <si>
    <t>0.004838661274865806</t>
  </si>
  <si>
    <t>0.9951613387251342</t>
  </si>
  <si>
    <t>0.005617298675241169</t>
  </si>
  <si>
    <t>0.019509375322439078</t>
  </si>
  <si>
    <t>0.9804906246775609</t>
  </si>
  <si>
    <t>P03</t>
  </si>
  <si>
    <t>I.24.6_3_1</t>
  </si>
  <si>
    <t>E_n = 1/2*m*(omega**2+omega_0**2)*1/2*x**2</t>
  </si>
  <si>
    <t>2*sqrt(E_n/(m*(omega**2 + omega_0**2)))</t>
  </si>
  <si>
    <t>x</t>
  </si>
  <si>
    <t>E_n, omega</t>
  </si>
  <si>
    <t>m=[1, 3]; omega_0=[1, 3]</t>
  </si>
  <si>
    <t>(none)</t>
  </si>
  <si>
    <t>(E_n*(p2 + p3*cos(p4*(omega*p0 + p5)**p0))*(p0*log(tanh(atan(omega*p1))) + atan(omega)**omega)**p0)**p6</t>
  </si>
  <si>
    <t>[-1, 3.39457209280190, 0.236719070000000, 0.00161478620000000, 2.05464550000000, 3.30663642400000, 1/2]</t>
  </si>
  <si>
    <t>0.0044939870866155</t>
  </si>
  <si>
    <t>0.0044933457114281</t>
  </si>
  <si>
    <t>0.9855415753904012</t>
  </si>
  <si>
    <t>0.0003361811276397</t>
  </si>
  <si>
    <t>1.8847050346921193e-07</t>
  </si>
  <si>
    <t>2.3430437541648522e-07</t>
  </si>
  <si>
    <t>0.9999997656956245</t>
  </si>
  <si>
    <t>3.3245340366957356e-07</t>
  </si>
  <si>
    <t>5.328023210825596e-07</t>
  </si>
  <si>
    <t>0.9999994671976788</t>
  </si>
  <si>
    <t>6.364850461974904e-07</t>
  </si>
  <si>
    <t>1.0716717380925265e-06</t>
  </si>
  <si>
    <t>0.9999989283282619</t>
  </si>
  <si>
    <t>3.940674185352478e-05</t>
  </si>
  <si>
    <t>0.00012958244450244098</t>
  </si>
  <si>
    <t>0.9998704175554975</t>
  </si>
  <si>
    <t>0.0005298766199356989</t>
  </si>
  <si>
    <t>0.001741951259426331</t>
  </si>
  <si>
    <t>0.9982580487405737</t>
  </si>
  <si>
    <t>0.004461551928980262</t>
  </si>
  <si>
    <t>0.014461633611635763</t>
  </si>
  <si>
    <t>0.9855383663883642</t>
  </si>
  <si>
    <t>0.012533288414379012</t>
  </si>
  <si>
    <t>0.03960960906095225</t>
  </si>
  <si>
    <t>0.9603903909390477</t>
  </si>
  <si>
    <t>0.05006941838938571</t>
  </si>
  <si>
    <t>0.14054258369179023</t>
  </si>
  <si>
    <t>0.8594574163082098</t>
  </si>
  <si>
    <t>P04</t>
  </si>
  <si>
    <t>I.32.5_1_1</t>
  </si>
  <si>
    <t>Pwr = q**2*a**2/(6*pi*epsilon*c**3)</t>
  </si>
  <si>
    <t>sqrt(6)*sqrt(pi)*sqrt(Pwr*c**3*epsilon)/q</t>
  </si>
  <si>
    <t>a</t>
  </si>
  <si>
    <t>Pwr</t>
  </si>
  <si>
    <t>q=[1, 5]</t>
  </si>
  <si>
    <t>c=3; epsilon=3; pi=3.14159</t>
  </si>
  <si>
    <t>15.9520779210735*sqrt(6)*sqrt(Pwr)/q</t>
  </si>
  <si>
    <t>Pwr**p1*p0 + p2*(Pwr + p3*sin(Pwr))*sin(Pwr*p0 + p4 + p5*exp(Pwr*p6))</t>
  </si>
  <si>
    <t>[9.22231900000000, 0.499847700000000, -7.23928860379605, -1, 4.60975494081630, 364.515299454978, 17.5796087988249]</t>
  </si>
  <si>
    <t>0.0117266207062361</t>
  </si>
  <si>
    <t>0.0117229233320004</t>
  </si>
  <si>
    <t>0.9897372748041776</t>
  </si>
  <si>
    <t>0.0001030631524821</t>
  </si>
  <si>
    <t>1.3774302880999936e-23</t>
  </si>
  <si>
    <t>1.2129185532348957e-23</t>
  </si>
  <si>
    <t>1.3264033019727554e-23</t>
  </si>
  <si>
    <t>1.1671649867589406e-23</t>
  </si>
  <si>
    <t>1.3429207585419778e-23</t>
  </si>
  <si>
    <t>1.1810086730939992e-23</t>
  </si>
  <si>
    <t>1.3269361699636006e-23</t>
  </si>
  <si>
    <t>1.1684109507976572e-23</t>
  </si>
  <si>
    <t>0.0012945769794520663</t>
  </si>
  <si>
    <t>0.001138550061116624</t>
  </si>
  <si>
    <t>0.9988614499388835</t>
  </si>
  <si>
    <t>0.011829190395742425</t>
  </si>
  <si>
    <t>0.010303755227454112</t>
  </si>
  <si>
    <t>0.9896962447725459</t>
  </si>
  <si>
    <t>0.032529015304185824</t>
  </si>
  <si>
    <t>0.027839279433801035</t>
  </si>
  <si>
    <t>0.9721607205661991</t>
  </si>
  <si>
    <t>0.13217930139887607</t>
  </si>
  <si>
    <t>0.10430457838411093</t>
  </si>
  <si>
    <t>0.895695421615889</t>
  </si>
  <si>
    <t>P05</t>
  </si>
  <si>
    <t>II.27.18_1_0</t>
  </si>
  <si>
    <t>E_den = epsilon*Ef**2</t>
  </si>
  <si>
    <t>sqrt(E_den/epsilon)</t>
  </si>
  <si>
    <t>Ef</t>
  </si>
  <si>
    <t>E_den</t>
  </si>
  <si>
    <t>epsilon=[1, 5]</t>
  </si>
  <si>
    <t>E_den**p1*p0 + E_den**cos(E_den)*p2*(cos(E_den*(E_den + p3)) + atan(sin(E_den)))*cos(E_den**p4)</t>
  </si>
  <si>
    <t>[0.658956902991387, 1/2, 0.00158057960000000, 0.977873200000000, 2]</t>
  </si>
  <si>
    <t>0.0116697787814454</t>
  </si>
  <si>
    <t>0.0116613640313464</t>
  </si>
  <si>
    <t>0.9897631685400604</t>
  </si>
  <si>
    <t>0.0001432265418586</t>
  </si>
  <si>
    <t>1.1132178471912132e-23</t>
  </si>
  <si>
    <t>9.807271687594738e-24</t>
  </si>
  <si>
    <t>1.198415165724258e-23</t>
  </si>
  <si>
    <t>1.0547890684525535e-23</t>
  </si>
  <si>
    <t>1.2304706539932873e-23</t>
  </si>
  <si>
    <t>1.0827059116827458e-23</t>
  </si>
  <si>
    <t>1.1384929491434832e-23</t>
  </si>
  <si>
    <t>9.967411306750512e-24</t>
  </si>
  <si>
    <t>0.0012924576381113159</t>
  </si>
  <si>
    <t>0.0011293202667935394</t>
  </si>
  <si>
    <t>0.9988706797332065</t>
  </si>
  <si>
    <t>0.011623556217129082</t>
  </si>
  <si>
    <t>0.010053997576634022</t>
  </si>
  <si>
    <t>0.989946002423366</t>
  </si>
  <si>
    <t>0.032628834081272054</t>
  </si>
  <si>
    <t>0.027717899582077384</t>
  </si>
  <si>
    <t>0.9722821004179226</t>
  </si>
  <si>
    <t>0.13068876690080744</t>
  </si>
  <si>
    <t>0.10307092064833825</t>
  </si>
  <si>
    <t>0.8969290793516618</t>
  </si>
  <si>
    <t>P06</t>
  </si>
  <si>
    <t>II.24.17_0_1</t>
  </si>
  <si>
    <t>k = sqrt(omega**2/c**2-pi**2/d**2)</t>
  </si>
  <si>
    <t>c*sqrt(d**2*k**2 + pi**2)/d</t>
  </si>
  <si>
    <t>omega</t>
  </si>
  <si>
    <t>k</t>
  </si>
  <si>
    <t>d=[2, 4]</t>
  </si>
  <si>
    <t>c=1.5; pi=3.14159</t>
  </si>
  <si>
    <t>1.5*sqrt(d**2*k**2 + 9.8695877281)/d</t>
  </si>
  <si>
    <t>k*(p1 + p2*sin(k + p3*exp(k)) + p4*sin(k*p5)) + p0</t>
  </si>
  <si>
    <t>[0.773454600000000, 1.37601340000000, 0.00313463780000000, -2.87548627765310, -0.00313463780000000, 7427.19200000000]</t>
  </si>
  <si>
    <t>[p0, p1, p2, p3, p4, p5]</t>
  </si>
  <si>
    <t>0.0227612423328598</t>
  </si>
  <si>
    <t>0.022752468084985</t>
  </si>
  <si>
    <t>0.9357011478117484</t>
  </si>
  <si>
    <t>0.0001288001043014</t>
  </si>
  <si>
    <t>1.542966781211138e-05</t>
  </si>
  <si>
    <t>4.6205785014407376e-05</t>
  </si>
  <si>
    <t>0.9999537942149856</t>
  </si>
  <si>
    <t>1.0279178940905614e-05</t>
  </si>
  <si>
    <t>3.078522917119513e-05</t>
  </si>
  <si>
    <t>0.9999692147708288</t>
  </si>
  <si>
    <t>8.213179712049715e-06</t>
  </si>
  <si>
    <t>2.4600787663376036e-05</t>
  </si>
  <si>
    <t>0.9999753992123366</t>
  </si>
  <si>
    <t>1.8027389953437375e-05</t>
  </si>
  <si>
    <t>5.372322703328024e-05</t>
  </si>
  <si>
    <t>0.9999462767729667</t>
  </si>
  <si>
    <t>0.002558861567809847</t>
  </si>
  <si>
    <t>0.00754680835126111</t>
  </si>
  <si>
    <t>0.9924531916487389</t>
  </si>
  <si>
    <t>0.023259047833803552</t>
  </si>
  <si>
    <t>0.06472984649866127</t>
  </si>
  <si>
    <t>0.9352701535013388</t>
  </si>
  <si>
    <t>0.06342932975944131</t>
  </si>
  <si>
    <t>0.15922289990352106</t>
  </si>
  <si>
    <t>0.840777100096479</t>
  </si>
  <si>
    <t>0.25199641234187253</t>
  </si>
  <si>
    <t>0.4266939066881297</t>
  </si>
  <si>
    <t>0.5733060933118703</t>
  </si>
  <si>
    <t>P07</t>
  </si>
  <si>
    <t>II.15.4_1_0</t>
  </si>
  <si>
    <t>E_n = -mom*B*cos(theta)</t>
  </si>
  <si>
    <t>B</t>
  </si>
  <si>
    <t>E_n, theta</t>
  </si>
  <si>
    <t>mom=[1, 5]</t>
  </si>
  <si>
    <t>E_n*p0*(p1*sin(E_n*p2) + cos(theta))**p3</t>
  </si>
  <si>
    <t>[-0.435263900000000, 0.000918484900000000, 27.6229038290372, -1]</t>
  </si>
  <si>
    <t>[p0, p1, p2, p3]</t>
  </si>
  <si>
    <t>0.0092834067048906</t>
  </si>
  <si>
    <t>0.0092795952060095</t>
  </si>
  <si>
    <t>0.9931238656878716</t>
  </si>
  <si>
    <t>0.0015706923488997</t>
  </si>
  <si>
    <t>1.8191757606687497e-21</t>
  </si>
  <si>
    <t>3.367727683257587e-22</t>
  </si>
  <si>
    <t>1.8157253863978838e-21</t>
  </si>
  <si>
    <t>3.3611297701223e-22</t>
  </si>
  <si>
    <t>1.824533447318979e-21</t>
  </si>
  <si>
    <t>3.3768585237397536e-22</t>
  </si>
  <si>
    <t>5.59713309460257e-22</t>
  </si>
  <si>
    <t>4.166237845057167e-22</t>
  </si>
  <si>
    <t>0.0010326147153691336</t>
  </si>
  <si>
    <t>0.0007680603167041212</t>
  </si>
  <si>
    <t>0.9992319396832959</t>
  </si>
  <si>
    <t>0.009286268139971786</t>
  </si>
  <si>
    <t>0.006864737891859396</t>
  </si>
  <si>
    <t>0.9931352621081406</t>
  </si>
  <si>
    <t>0.025727469241673954</t>
  </si>
  <si>
    <t>0.01878815621058231</t>
  </si>
  <si>
    <t>0.9812118437894177</t>
  </si>
  <si>
    <t>0.1020532223368082</t>
  </si>
  <si>
    <t>0.07037480516804649</t>
  </si>
  <si>
    <t>0.9296251948319535</t>
  </si>
  <si>
    <t>P08</t>
  </si>
  <si>
    <t>III.10.19_1_1</t>
  </si>
  <si>
    <t>E_n = mom*sqrt(Bx**2+By**2+Bz**2)</t>
  </si>
  <si>
    <t>sqrt(-By**2 - Bz**2 + E_n**2/mom**2)</t>
  </si>
  <si>
    <t>Bx</t>
  </si>
  <si>
    <t>E_n, By, Bz</t>
  </si>
  <si>
    <t>(By*(By*p0 + E_n)**p5*atan(By) + p4)*(By*p0 + Bz*p1*(Bz**p0*(Bz + E_n*p0) + p2)**p0 + E_n*p1)**p3</t>
  </si>
  <si>
    <t>[-1, 0.547372760000000, 0.124642400000000, 0.843381460000000, 1.29930970000000, -0.819563450000000]</t>
  </si>
  <si>
    <t>31.770600265680077</t>
  </si>
  <si>
    <t>0.1002996749042727</t>
  </si>
  <si>
    <t>0.0327435986276766</t>
  </si>
  <si>
    <t>12.817971710113227</t>
  </si>
  <si>
    <t>3.5932620891195355</t>
  </si>
  <si>
    <t>2.2919078098107857</t>
  </si>
  <si>
    <t>0.6404704528987739</t>
  </si>
  <si>
    <t>0.3595295471012261</t>
  </si>
  <si>
    <t>2.265457171551528</t>
  </si>
  <si>
    <t>0.6322295800736555</t>
  </si>
  <si>
    <t>0.3677704199263446</t>
  </si>
  <si>
    <t>6.641433424279887</t>
  </si>
  <si>
    <t>5.568318271092706</t>
  </si>
  <si>
    <t>6.641529358430537</t>
  </si>
  <si>
    <t>5.561010651117069</t>
  </si>
  <si>
    <t>1.2729062244565057</t>
  </si>
  <si>
    <t>1.0556035830391688</t>
  </si>
  <si>
    <t>6.626681199186005</t>
  </si>
  <si>
    <t>5.431810804824273</t>
  </si>
  <si>
    <t>6.703267476070936</t>
  </si>
  <si>
    <t>5.089723582238864</t>
  </si>
  <si>
    <t>P09</t>
  </si>
  <si>
    <t>II.34.2_1_0</t>
  </si>
  <si>
    <t>mom = q*v*r/2</t>
  </si>
  <si>
    <t>2*mom/(q*r)</t>
  </si>
  <si>
    <t>r</t>
  </si>
  <si>
    <t>mom=[2, 8]</t>
  </si>
  <si>
    <t>q=3</t>
  </si>
  <si>
    <t>2*mom/(3*r)</t>
  </si>
  <si>
    <t>r**p0*(p1 + p2*r**p0*sin(r**p3*(p4 + p5*atan(r) + r)))</t>
  </si>
  <si>
    <t>[-1, 2.41921190000000, -0.0162881766764190, 2, -50.1120380000000, 1.29248030000000]</t>
  </si>
  <si>
    <t>0.0028575570497824</t>
  </si>
  <si>
    <t>0.0021843912337402</t>
  </si>
  <si>
    <t>0.9953200654891544</t>
  </si>
  <si>
    <t>0.0004069735602614</t>
  </si>
  <si>
    <t>1.7104246368811176e-23</t>
  </si>
  <si>
    <t>2.9444481160316397e-23</t>
  </si>
  <si>
    <t>1.8186396565748555e-23</t>
  </si>
  <si>
    <t>2.8467445804179474e-23</t>
  </si>
  <si>
    <t>1.9052801426484008e-23</t>
  </si>
  <si>
    <t>2.830335701033221e-23</t>
  </si>
  <si>
    <t>1.9748589969977004e-23</t>
  </si>
  <si>
    <t>7.113227414829841e-23</t>
  </si>
  <si>
    <t>0.00016916820742885982</t>
  </si>
  <si>
    <t>0.0005229466235148516</t>
  </si>
  <si>
    <t>0.9994770533764852</t>
  </si>
  <si>
    <t>0.001563459988948245</t>
  </si>
  <si>
    <t>0.004712205831190284</t>
  </si>
  <si>
    <t>0.9952877941688096</t>
  </si>
  <si>
    <t>0.004270438884631075</t>
  </si>
  <si>
    <t>0.012800839818579208</t>
  </si>
  <si>
    <t>0.9871991601814208</t>
  </si>
  <si>
    <t>0.017031149472776983</t>
  </si>
  <si>
    <t>0.049644235950628696</t>
  </si>
  <si>
    <t>0.9503557640493713</t>
  </si>
  <si>
    <t>P11</t>
  </si>
  <si>
    <t>II.11.27_0_0</t>
  </si>
  <si>
    <t>Pol = n*alpha/(1-(n*alpha/3))*epsilon*Ef</t>
  </si>
  <si>
    <t>3*Pol/(alpha*(3*Ef*epsilon + Pol))</t>
  </si>
  <si>
    <t>n</t>
  </si>
  <si>
    <t>Pol, Ef</t>
  </si>
  <si>
    <t>alpha=[0, 1]</t>
  </si>
  <si>
    <t>epsilon=1.5</t>
  </si>
  <si>
    <t>3*Pol/(alpha*(4.5*Ef + Pol))</t>
  </si>
  <si>
    <t>Ef**p2*Pol*p1 + p0 + atan(Pol*p3*(Ef*p4 + tanh(Pol))**p2)</t>
  </si>
  <si>
    <t>[-0.00161138580000000, 2.51528824760917, -1, 0.272214140000000, 0.441527750000000]</t>
  </si>
  <si>
    <t>0.0002216730943309</t>
  </si>
  <si>
    <t>0.0002211990414459</t>
  </si>
  <si>
    <t>0.995263056169888</t>
  </si>
  <si>
    <t>2.0193871746262605e-06</t>
  </si>
  <si>
    <t>2.7619273485351252e-06</t>
  </si>
  <si>
    <t>2.998495615994086e-05</t>
  </si>
  <si>
    <t>0.9999700150438401</t>
  </si>
  <si>
    <t>7.782263330073719e-06</t>
  </si>
  <si>
    <t>8.996688852951842e-05</t>
  </si>
  <si>
    <t>0.9999100331114705</t>
  </si>
  <si>
    <t>1.3342140065426978e-05</t>
  </si>
  <si>
    <t>0.00016045764590731317</t>
  </si>
  <si>
    <t>0.9998395423540927</t>
  </si>
  <si>
    <t>6.260109261874207e-07</t>
  </si>
  <si>
    <t>1.3446133855187144e-05</t>
  </si>
  <si>
    <t>0.9999865538661448</t>
  </si>
  <si>
    <t>2.4556076648864878e-05</t>
  </si>
  <si>
    <t>0.0005254482191340217</t>
  </si>
  <si>
    <t>0.999474551780866</t>
  </si>
  <si>
    <t>0.00021774016683556366</t>
  </si>
  <si>
    <t>0.004639473079645884</t>
  </si>
  <si>
    <t>0.995360526920354</t>
  </si>
  <si>
    <t>0.0006097695218952744</t>
  </si>
  <si>
    <t>0.012883607253767308</t>
  </si>
  <si>
    <t>0.9871163927462328</t>
  </si>
  <si>
    <t>0.002401600374849673</t>
  </si>
  <si>
    <t>0.048758843000142764</t>
  </si>
  <si>
    <t>0.9512411569998572</t>
  </si>
  <si>
    <t>P12</t>
  </si>
  <si>
    <t>II.11.3_4_1</t>
  </si>
  <si>
    <t>x = q*Ef/(m*(omega_0**2-omega**2))</t>
  </si>
  <si>
    <t>sqrt(-Ef*q/(m*x) + omega_0**2)</t>
  </si>
  <si>
    <t>x, Ef</t>
  </si>
  <si>
    <t>omega_0=[3, 5]</t>
  </si>
  <si>
    <t>q=2; m=2</t>
  </si>
  <si>
    <t>sqrt(-Ef/x + omega_0**2)</t>
  </si>
  <si>
    <t>p0 + p1*((Ef*p3*x**p4 + p2)**p5)**p6 + p7*tanh(exp(Ef*p8))</t>
  </si>
  <si>
    <t>[0.621050505865078, 3.36011343742965, 17.3443130000000, -0.777800440000000, -1, 1.01513710000000, 1/4, -3.36011343742965, 1.25900760000000]</t>
  </si>
  <si>
    <t>[p0, p1, p2, p3, p4, p5, p6, p7, p8]</t>
  </si>
  <si>
    <t>0.2230865959191891</t>
  </si>
  <si>
    <t>0.0027237201106907</t>
  </si>
  <si>
    <t>4.865652089970682e-06</t>
  </si>
  <si>
    <t>0.10041112385899417</t>
  </si>
  <si>
    <t>0.27361087067390527</t>
  </si>
  <si>
    <t>0.7263891293260947</t>
  </si>
  <si>
    <t>5.719742778010105e-06</t>
  </si>
  <si>
    <t>8.842132652999426e-06</t>
  </si>
  <si>
    <t>0.999991157867347</t>
  </si>
  <si>
    <t>0.00028628472745323744</t>
  </si>
  <si>
    <t>0.000520324016648794</t>
  </si>
  <si>
    <t>0.9994796759833513</t>
  </si>
  <si>
    <t>0.021917389232805194</t>
  </si>
  <si>
    <t>0.28707053757625495</t>
  </si>
  <si>
    <t>0.712929462423745</t>
  </si>
  <si>
    <t>0.01930497496993004</t>
  </si>
  <si>
    <t>0.25249677824576994</t>
  </si>
  <si>
    <t>0.7475032217542301</t>
  </si>
  <si>
    <t>0.005841615571868303</t>
  </si>
  <si>
    <t>0.07296914768621429</t>
  </si>
  <si>
    <t>0.9270308523137857</t>
  </si>
  <si>
    <t>0.016302183029265418</t>
  </si>
  <si>
    <t>0.19294359270934158</t>
  </si>
  <si>
    <t>0.8070564072906584</t>
  </si>
  <si>
    <t>0.03866274314023501</t>
  </si>
  <si>
    <t>0.36973819013127124</t>
  </si>
  <si>
    <t>0.6302618098687287</t>
  </si>
  <si>
    <t>P13</t>
  </si>
  <si>
    <t>I.13.12_3_0</t>
  </si>
  <si>
    <t>U = G*m1*m2*(1/r2-1/r1)</t>
  </si>
  <si>
    <t>G*m1*m2*r1/(G*m1*m2 + U*r1)</t>
  </si>
  <si>
    <t>r2</t>
  </si>
  <si>
    <t>U</t>
  </si>
  <si>
    <t>r1=[1, 5]</t>
  </si>
  <si>
    <t>G=3; m1=3; m2=3</t>
  </si>
  <si>
    <t>27*r1/(U*r1 + 27)</t>
  </si>
  <si>
    <t>p0 + (p1 + (U + p2)**p3)**p4*(p5 + p6*sin(p7 + p8*exp(U)))</t>
  </si>
  <si>
    <t>[0.00145410930000000, 1, 12.1770960000000, 2, -1/2, 26.7863200000000, 0.0995230700000000, 0.268773100000000, 194287.830329607]</t>
  </si>
  <si>
    <t>0.0044713236470178</t>
  </si>
  <si>
    <t>0.0044609605655916</t>
  </si>
  <si>
    <t>0.9952947419187392</t>
  </si>
  <si>
    <t>8.380437014455716e-05</t>
  </si>
  <si>
    <t>8.427948372285528e-14</t>
  </si>
  <si>
    <t>9.073601966954223e-14</t>
  </si>
  <si>
    <t>0.9999999999999093</t>
  </si>
  <si>
    <t>5.820738810908264e-11</t>
  </si>
  <si>
    <t>5.793006608939274e-11</t>
  </si>
  <si>
    <t>0.9999999999420699</t>
  </si>
  <si>
    <t>1.7315197265461198e-09</t>
  </si>
  <si>
    <t>1.7233316863697667e-09</t>
  </si>
  <si>
    <t>0.9999999982766683</t>
  </si>
  <si>
    <t>1.00601914213264e-14</t>
  </si>
  <si>
    <t>1.0505507856288686e-14</t>
  </si>
  <si>
    <t>0.9999999999999896</t>
  </si>
  <si>
    <t>0.0004973170423498248</t>
  </si>
  <si>
    <t>0.000520818293881732</t>
  </si>
  <si>
    <t>0.9994791817061183</t>
  </si>
  <si>
    <t>0.004570177176363172</t>
  </si>
  <si>
    <t>0.004767868072859704</t>
  </si>
  <si>
    <t>0.9952321319271402</t>
  </si>
  <si>
    <t>0.01253327592483524</t>
  </si>
  <si>
    <t>0.012947586179521355</t>
  </si>
  <si>
    <t>0.9870524138204786</t>
  </si>
  <si>
    <t>0.04944756715996797</t>
  </si>
  <si>
    <t>0.04958710238061998</t>
  </si>
  <si>
    <t>0.95041289761938</t>
  </si>
  <si>
    <t>P14</t>
  </si>
  <si>
    <t>I.44.4_4_0</t>
  </si>
  <si>
    <t>E_n = n*kb*T*ln(V2/V1)</t>
  </si>
  <si>
    <t>V1*exp(E_n/(T*kb*n))</t>
  </si>
  <si>
    <t>V2</t>
  </si>
  <si>
    <t>V1=[1, 5]; T=[1, 5]</t>
  </si>
  <si>
    <t>kb=3; n=3</t>
  </si>
  <si>
    <t>V1*exp(E_n/(9*T))</t>
  </si>
  <si>
    <t>p0*exp(E_n*p1) + p2*(p3 + cos(p4*exp(E_n)))*(cos(E_n) + cos(E_n + atan(p5)))*exp(E_n)</t>
  </si>
  <si>
    <t>[2.44135584279404, 0.0492128130000000, -4.25682604574604e-8, -0.348907440000000, 0.0273402913276418, 1.36246660000000]</t>
  </si>
  <si>
    <t>0.0066647386629375</t>
  </si>
  <si>
    <t>0.0066624930372307</t>
  </si>
  <si>
    <t>0.9948431023836756</t>
  </si>
  <si>
    <t>1.71163114038902e-06</t>
  </si>
  <si>
    <t>1.7150053742100164e-15</t>
  </si>
  <si>
    <t>1.3511650624173664e-15</t>
  </si>
  <si>
    <t>0.9999999999999987</t>
  </si>
  <si>
    <t>1.8077540678563727e-11</t>
  </si>
  <si>
    <t>1.4242370170911122e-11</t>
  </si>
  <si>
    <t>0.9999999999857576</t>
  </si>
  <si>
    <t>2.317596647420132e-23</t>
  </si>
  <si>
    <t>1.8263382796810876e-23</t>
  </si>
  <si>
    <t>4.284493502702948e-13</t>
  </si>
  <si>
    <t>3.364354853550707e-13</t>
  </si>
  <si>
    <t>0.9999999999996636</t>
  </si>
  <si>
    <t>0.0007485118956635311</t>
  </si>
  <si>
    <t>0.0005812126620673131</t>
  </si>
  <si>
    <t>0.9994187873379328</t>
  </si>
  <si>
    <t>0.00657354771157392</t>
  </si>
  <si>
    <t>0.005078694249646727</t>
  </si>
  <si>
    <t>0.9949213057503533</t>
  </si>
  <si>
    <t>0.018558755442420322</t>
  </si>
  <si>
    <t>0.014225467009850001</t>
  </si>
  <si>
    <t>0.9857745329901499</t>
  </si>
  <si>
    <t>0.07546786170665604</t>
  </si>
  <si>
    <t>0.055350572990748415</t>
  </si>
  <si>
    <t>0.9446494270092516</t>
  </si>
  <si>
    <t>P15</t>
  </si>
  <si>
    <t>II.34.29b_4_0</t>
  </si>
  <si>
    <t>E_n = g_*mom*B*Jz/(h/(2*pi))</t>
  </si>
  <si>
    <t>E_n*h/(2*pi*Jz*g_*mom)</t>
  </si>
  <si>
    <t>g_=[1, 5]</t>
  </si>
  <si>
    <t>h=3; Jz=3; mom=3; pi=3.14159</t>
  </si>
  <si>
    <t>0.0530516925081461*E_n/g_</t>
  </si>
  <si>
    <t>E_n*(p0 + p1*cos(E_n*p2) + p1*cos(E_n*p3) + p4*cos(E_n*p7) + p4*cos(E_n**p6*p5) + p4*cos(E_n + E_n**p6*p8))</t>
  </si>
  <si>
    <t>[0.0131847510000000, 2.95053500000000e-5, 0.725302807895814, 5.28484578925684, -2.95053500000000e-5, 1.25016470000000, 2, 2.48984200000000, 0.888988440000000]</t>
  </si>
  <si>
    <t>0.0091732008864365</t>
  </si>
  <si>
    <t>0.0091688331371686</t>
  </si>
  <si>
    <t>0.9931420393674056</t>
  </si>
  <si>
    <t>0.0003853694056739</t>
  </si>
  <si>
    <t>3.156813623685144e-23</t>
  </si>
  <si>
    <t>2.3641441825187127e-23</t>
  </si>
  <si>
    <t>2.88849074856087e-23</t>
  </si>
  <si>
    <t>2.16304906130724e-23</t>
  </si>
  <si>
    <t>2.7957517612158294e-23</t>
  </si>
  <si>
    <t>2.0936994231120212e-23</t>
  </si>
  <si>
    <t>3.2927854032915713e-23</t>
  </si>
  <si>
    <t>2.469300509903585e-23</t>
  </si>
  <si>
    <t>0.0010175603251726026</t>
  </si>
  <si>
    <t>0.0007610197586310362</t>
  </si>
  <si>
    <t>0.9992389802413689</t>
  </si>
  <si>
    <t>0.009328324498826717</t>
  </si>
  <si>
    <t>0.00694354493302188</t>
  </si>
  <si>
    <t>0.9930564550669781</t>
  </si>
  <si>
    <t>0.025977766857222646</t>
  </si>
  <si>
    <t>0.01906276245334291</t>
  </si>
  <si>
    <t>0.9809372375466571</t>
  </si>
  <si>
    <t>0.1030622315179717</t>
  </si>
  <si>
    <t>0.07186521872160578</t>
  </si>
  <si>
    <t>0.9281347812783942</t>
  </si>
  <si>
    <t>P16</t>
  </si>
  <si>
    <t>II.35.18_4_1</t>
  </si>
  <si>
    <t>n = n_0/(exp(mom*B/(kb*T))+exp(-mom*B/(kb*T)))</t>
  </si>
  <si>
    <t>T*kb*log((n_0 + sqrt(-4*n**2 + n_0**2))/(2*n))/mom</t>
  </si>
  <si>
    <t>T=[1, 3]; n_0=[1, 3]</t>
  </si>
  <si>
    <t>kb=2; mom=2</t>
  </si>
  <si>
    <t>T*log((n_0 + sqrt(-4*n**2 + n_0**2))/(2*n))</t>
  </si>
  <si>
    <t>n**p2*p1 + p0 + p3*cos(n)</t>
  </si>
  <si>
    <t>[-1.44105410000000, 0.633583300000000, -1, 3.23050000000000]</t>
  </si>
  <si>
    <t>0.0038813599797556</t>
  </si>
  <si>
    <t>0.0038699275564483</t>
  </si>
  <si>
    <t>0.987752107208264</t>
  </si>
  <si>
    <t>0.0206781440351072</t>
  </si>
  <si>
    <t>3.501955792609115e-05</t>
  </si>
  <si>
    <t>0.00011197663110073416</t>
  </si>
  <si>
    <t>0.9998880233688993</t>
  </si>
  <si>
    <t>4.3588095466212995e-05</t>
  </si>
  <si>
    <t>0.00013888332254761835</t>
  </si>
  <si>
    <t>0.9998611166774525</t>
  </si>
  <si>
    <t>8.844321955416038e-05</t>
  </si>
  <si>
    <t>0.00028107618467455874</t>
  </si>
  <si>
    <t>0.9997189238153255</t>
  </si>
  <si>
    <t>1.0378174803053532e-05</t>
  </si>
  <si>
    <t>3.3256422816539005e-05</t>
  </si>
  <si>
    <t>0.9999667435771834</t>
  </si>
  <si>
    <t>0.0004312831041604286</t>
  </si>
  <si>
    <t>0.0013828861312820916</t>
  </si>
  <si>
    <t>0.9986171138687179</t>
  </si>
  <si>
    <t>0.003800242529627214</t>
  </si>
  <si>
    <t>0.01207577923698611</t>
  </si>
  <si>
    <t>0.9879242207630139</t>
  </si>
  <si>
    <t>0.01042778463815849</t>
  </si>
  <si>
    <t>0.03247744949767992</t>
  </si>
  <si>
    <t>0.9675225505023201</t>
  </si>
  <si>
    <t>0.041767763396786034</t>
  </si>
  <si>
    <t>0.11795124949461686</t>
  </si>
  <si>
    <t>0.8820487505053831</t>
  </si>
  <si>
    <t>P17</t>
  </si>
  <si>
    <t>III.13.18_0_0</t>
  </si>
  <si>
    <t>v = 2*E_n*d**2*k/(h/(2*pi))</t>
  </si>
  <si>
    <t>h*v/(4*pi*d**2*k)</t>
  </si>
  <si>
    <t>v, k</t>
  </si>
  <si>
    <t>d=[1, 5]</t>
  </si>
  <si>
    <t>0.238732616286657*v/(d**2*k)</t>
  </si>
  <si>
    <t>(k + p0)**p1*(p2*v + p2*cos(p3*v) + p4*atan(p5*v*(k + p6*sin(v**p7))*(p1*sin(v) + atan(k))))</t>
  </si>
  <si>
    <t>[-0.00360179800000000, -1, 0.0133019660000000, 0.924477919584473, -0.0133019660000000, 5.37703876473934, 2.33236603116923, 1/2]</t>
  </si>
  <si>
    <t>[p0, p1, p2, p3, p4, p5, p6, p7]</t>
  </si>
  <si>
    <t>0.0094500532249718</t>
  </si>
  <si>
    <t>0.0094392356013874</t>
  </si>
  <si>
    <t>0.9929655484415262</t>
  </si>
  <si>
    <t>5.450666611775308e-05</t>
  </si>
  <si>
    <t>1.1175263859731923</t>
  </si>
  <si>
    <t>0.06692274730615641</t>
  </si>
  <si>
    <t>0.9330772526938436</t>
  </si>
  <si>
    <t>0.4564253763569839</t>
  </si>
  <si>
    <t>0.027293624425779876</t>
  </si>
  <si>
    <t>0.97270637557422</t>
  </si>
  <si>
    <t>6.195544366741949e-05</t>
  </si>
  <si>
    <t>3.7386087692205128e-06</t>
  </si>
  <si>
    <t>0.9999962613912308</t>
  </si>
  <si>
    <t>0.1372254255277972</t>
  </si>
  <si>
    <t>0.10421285473554556</t>
  </si>
  <si>
    <t>0.8957871452644545</t>
  </si>
  <si>
    <t>0.12021800420262908</t>
  </si>
  <si>
    <t>0.09143269813676083</t>
  </si>
  <si>
    <t>0.9085673018632392</t>
  </si>
  <si>
    <t>0.12854945051133865</t>
  </si>
  <si>
    <t>0.09700977496766158</t>
  </si>
  <si>
    <t>0.9029902250323383</t>
  </si>
  <si>
    <t>0.1272133433796292</t>
  </si>
  <si>
    <t>0.09473846372380851</t>
  </si>
  <si>
    <t>0.9052615362761915</t>
  </si>
  <si>
    <t>0.24306285407295664</t>
  </si>
  <si>
    <t>0.17042954851175685</t>
  </si>
  <si>
    <t>0.8295704514882432</t>
  </si>
  <si>
    <t>P18</t>
  </si>
  <si>
    <t>I.27.6_2_0</t>
  </si>
  <si>
    <t>foc = 1/(1/d1+n/d2)</t>
  </si>
  <si>
    <t>d2/foc - d2/d1</t>
  </si>
  <si>
    <t>foc</t>
  </si>
  <si>
    <t>d1=[1, 5]; d2=[1, 5]</t>
  </si>
  <si>
    <t>d2*(1/foc - 1/d1)</t>
  </si>
  <si>
    <t>foc**p2*p1 + p0 + (foc**p2*p7*cos(foc) + p3*(p4 + cos(foc**p2*p5))**p2*cos(foc*p6))*cos(foc*p8)</t>
  </si>
  <si>
    <t>[-0.928274870000000, 2.76070550000000, -1, 0.00110074000000000, -0.380720560000000, 0.548905400000000, 1068.21063267808, -0.00716819400000000, 39.4175900000000]</t>
  </si>
  <si>
    <t>0.0807525828808472</t>
  </si>
  <si>
    <t>0.0075762371071197</t>
  </si>
  <si>
    <t>0.9277802051507024</t>
  </si>
  <si>
    <t>0.0001555976419449</t>
  </si>
  <si>
    <t>2.9390261159233835e-23</t>
  </si>
  <si>
    <t>2.584155549368423e-23</t>
  </si>
  <si>
    <t>3.223369461149814e-23</t>
  </si>
  <si>
    <t>2.831761525655931e-23</t>
  </si>
  <si>
    <t>3.396699180401937e-23</t>
  </si>
  <si>
    <t>2.9826413173878534e-23</t>
  </si>
  <si>
    <t>2.547221262635426e-23</t>
  </si>
  <si>
    <t>2.226774496594576e-23</t>
  </si>
  <si>
    <t>0.0006414604687063618</t>
  </si>
  <si>
    <t>0.000563115026910264</t>
  </si>
  <si>
    <t>0.9994368849730898</t>
  </si>
  <si>
    <t>0.005776366391262619</t>
  </si>
  <si>
    <t>0.005040074331437906</t>
  </si>
  <si>
    <t>0.9949599256685622</t>
  </si>
  <si>
    <t>0.01627243201040949</t>
  </si>
  <si>
    <t>0.014042246322598654</t>
  </si>
  <si>
    <t>0.9859577536774013</t>
  </si>
  <si>
    <t>0.06466159440412919</t>
  </si>
  <si>
    <t>0.05386461356667866</t>
  </si>
  <si>
    <t>0.9461353864333213</t>
  </si>
  <si>
    <t>P19</t>
  </si>
  <si>
    <t>III.4.33_3_0</t>
  </si>
  <si>
    <t>E_n = (h/(2*pi))*omega/(exp((h/(2*pi))*omega/(kb*T))-1)</t>
  </si>
  <si>
    <t>h*omega/(2*pi*kb*log(1 + h*omega/(2*pi*E_n)))</t>
  </si>
  <si>
    <t>T</t>
  </si>
  <si>
    <t>omega=[1, 5]</t>
  </si>
  <si>
    <t>h=3; kb=3; pi=3.14159</t>
  </si>
  <si>
    <t>0.159155077524438*omega/log(1 + 0.477465232573315*omega/E_n)</t>
  </si>
  <si>
    <t>E_n*(E_n*p2 + p1 + p2*(cos(p3**E_n) + cos(E_n*p4) + cos(E_n**p6*p5))*log(E_n)) + p0</t>
  </si>
  <si>
    <t>[0.270517920000000, 0.339876036459643, -0.000336013759897873, 2.09288220000000, 8.28247754081978, 2981.68100000000, -1]</t>
  </si>
  <si>
    <t>0.0093593527270961</t>
  </si>
  <si>
    <t>0.009358051087312</t>
  </si>
  <si>
    <t>0.9930616539480628</t>
  </si>
  <si>
    <t>0.0004283546230839</t>
  </si>
  <si>
    <t>1.8431978317252326e-06</t>
  </si>
  <si>
    <t>1.3959151316774118e-06</t>
  </si>
  <si>
    <t>0.9999986040848683</t>
  </si>
  <si>
    <t>2.419709330579412e-06</t>
  </si>
  <si>
    <t>1.8324800554306474e-06</t>
  </si>
  <si>
    <t>0.9999981675199445</t>
  </si>
  <si>
    <t>2.833309758773208e-06</t>
  </si>
  <si>
    <t>2.1457371687204597e-06</t>
  </si>
  <si>
    <t>0.9999978542628313</t>
  </si>
  <si>
    <t>4.086694150909894e-06</t>
  </si>
  <si>
    <t>3.084189402650459e-06</t>
  </si>
  <si>
    <t>0.9999969158105974</t>
  </si>
  <si>
    <t>0.0010330150008867926</t>
  </si>
  <si>
    <t>0.0007771029837624788</t>
  </si>
  <si>
    <t>0.9992228970162376</t>
  </si>
  <si>
    <t>0.00932199945596058</t>
  </si>
  <si>
    <t>0.006962815692504901</t>
  </si>
  <si>
    <t>0.9930371843074951</t>
  </si>
  <si>
    <t>0.02600766653381001</t>
  </si>
  <si>
    <t>0.01921515289063748</t>
  </si>
  <si>
    <t>0.9807848471093625</t>
  </si>
  <si>
    <t>0.10349194257671605</t>
  </si>
  <si>
    <t>0.0721520142341538</t>
  </si>
  <si>
    <t>0.9278479857658463</t>
  </si>
  <si>
    <t>P20</t>
  </si>
  <si>
    <t>III.9.52_1_0</t>
  </si>
  <si>
    <t>prob = (p_d*Ef*t/(h/(2*pi)))*sin((omega-omega_0)*t/2)**2/((omega-omega_0)*t/2)**2</t>
  </si>
  <si>
    <t>h*prob*t*(omega - omega_0)**2/(4*pi*p_d*(1 - cos(t*(omega - omega_0))))</t>
  </si>
  <si>
    <t>prob, t, omega</t>
  </si>
  <si>
    <t>p_d=[1, 3]; omega_0=[3, 5]</t>
  </si>
  <si>
    <t>h=2; pi=3.14159</t>
  </si>
  <si>
    <t>0.159155077524438*prob*t*(omega - omega_0)**2/(p_d*(1 - cos(t*(omega - omega_0))))</t>
  </si>
  <si>
    <t>p0 + p6*sin(p7 + t*(omega*p3 + p8 + t)) + (t*(p1 + cos(t*(omega*p3 + p2 + t)))*(p4*t + prob))**p5</t>
  </si>
  <si>
    <t>[-0.953321340000000, 2.20367720000000, -1.29137380000000, -1, 0.101379550000000, 1/2, 1.24083890000000, -1.38923410000000, 0.417170080000000]</t>
  </si>
  <si>
    <t>0.0277242130677984</t>
  </si>
  <si>
    <t>0.0265369802664011</t>
  </si>
  <si>
    <t>0.9169819820834046</t>
  </si>
  <si>
    <t>0.0049678400121041</t>
  </si>
  <si>
    <t>359196461113429.0</t>
  </si>
  <si>
    <t>0.9976285113156926</t>
  </si>
  <si>
    <t>0.0023714886843073657</t>
  </si>
  <si>
    <t>188344286985166.0</t>
  </si>
  <si>
    <t>0.9938409582471378</t>
  </si>
  <si>
    <t>0.006159041752862152</t>
  </si>
  <si>
    <t>3692118651661400.5</t>
  </si>
  <si>
    <t>0.9956958499580474</t>
  </si>
  <si>
    <t>0.004304150041952601</t>
  </si>
  <si>
    <t>0.02336943583360123</t>
  </si>
  <si>
    <t>0.07057719137085572</t>
  </si>
  <si>
    <t>0.9294228086291443</t>
  </si>
  <si>
    <t>0.023806398868090863</t>
  </si>
  <si>
    <t>0.07174814223024062</t>
  </si>
  <si>
    <t>0.9282518577697594</t>
  </si>
  <si>
    <t>0.027240932920241615</t>
  </si>
  <si>
    <t>0.08129630922170293</t>
  </si>
  <si>
    <t>0.918703690778297</t>
  </si>
  <si>
    <t>0.03372201071857936</t>
  </si>
  <si>
    <t>0.09897942194258214</t>
  </si>
  <si>
    <t>0.9010205780574179</t>
  </si>
  <si>
    <t>0.06561223538955561</t>
  </si>
  <si>
    <t>0.1762233832745174</t>
  </si>
  <si>
    <t>0.8237766167254825</t>
  </si>
  <si>
    <t>P21</t>
  </si>
  <si>
    <t>II.21.32_3_0</t>
  </si>
  <si>
    <t>Volt = q/(4*pi*epsilon*r*(1-v/c))</t>
  </si>
  <si>
    <t>c - c*q/(4*pi*Volt*epsilon*r)</t>
  </si>
  <si>
    <t>Volt, r</t>
  </si>
  <si>
    <t>c=6.5; epsilon=3; pi=3.14159</t>
  </si>
  <si>
    <t>6.5 - 0.172418000651475*q/(Volt*r)</t>
  </si>
  <si>
    <t>Volt**p2*p1*(p3 + r)**p2 + p0</t>
  </si>
  <si>
    <t>[6.49725530000000, -0.619152300000000, -1, 0.000502418440000000]</t>
  </si>
  <si>
    <t>0.0021897422148408</t>
  </si>
  <si>
    <t>0.0021889814671274</t>
  </si>
  <si>
    <t>0.974236809026233</t>
  </si>
  <si>
    <t>0.0001221900413716</t>
  </si>
  <si>
    <t>1.3978044838992594e-22</t>
  </si>
  <si>
    <t>1.4892414890587202e-23</t>
  </si>
  <si>
    <t>1.3762105461641805e-22</t>
  </si>
  <si>
    <t>1.4674804495618498e-23</t>
  </si>
  <si>
    <t>1.4074412952805205e-22</t>
  </si>
  <si>
    <t>1.4972742619143016e-23</t>
  </si>
  <si>
    <t>1.0248744077379493e-22</t>
  </si>
  <si>
    <t>1.240961520854369e-21</t>
  </si>
  <si>
    <t>0.00023842493698082213</t>
  </si>
  <si>
    <t>0.002879222398001446</t>
  </si>
  <si>
    <t>0.9971207776019986</t>
  </si>
  <si>
    <t>0.002192146778909035</t>
  </si>
  <si>
    <t>0.025774672470484393</t>
  </si>
  <si>
    <t>0.9742253275295156</t>
  </si>
  <si>
    <t>0.006093379459465633</t>
  </si>
  <si>
    <t>0.06867870410986215</t>
  </si>
  <si>
    <t>0.9313212958901378</t>
  </si>
  <si>
    <t>0.02444765934552938</t>
  </si>
  <si>
    <t>0.2314456262011964</t>
  </si>
  <si>
    <t>0.7685543737988035</t>
  </si>
  <si>
    <t>P22</t>
  </si>
  <si>
    <t>I.15.3t_0_0</t>
  </si>
  <si>
    <t>t1 = (t-u*x/c**2)/sqrt(1-u**2/c**2)</t>
  </si>
  <si>
    <t>c**2*(t - t1*sqrt((c**2 - u**2)/c**2))/u</t>
  </si>
  <si>
    <t>t, t1</t>
  </si>
  <si>
    <t>u=[1, 2]</t>
  </si>
  <si>
    <t>42.25*(t - t1*sqrt(1.0 - 0.0236686390532544*u**2))/u</t>
  </si>
  <si>
    <t>p0*t + p1*tanh(p3*t**p4*log(t1)*log(atan(t))*atan(t) + t1**p2)**p4 + p5*t1</t>
  </si>
  <si>
    <t>[23.6879580000000, -0.000607233440000000, 2, -1357.97396138131, -1, -22.7800850000000]</t>
  </si>
  <si>
    <t>0.0092752543886543</t>
  </si>
  <si>
    <t>0.0092701560672613</t>
  </si>
  <si>
    <t>0.9930996281501874</t>
  </si>
  <si>
    <t>9.130166590774362e-05</t>
  </si>
  <si>
    <t>1.3769800376025807e-20</t>
  </si>
  <si>
    <t>6.636802237805721e-24</t>
  </si>
  <si>
    <t>9.38314014102009e-21</t>
  </si>
  <si>
    <t>6.271083428196945e-24</t>
  </si>
  <si>
    <t>7.805352147786958e-21</t>
  </si>
  <si>
    <t>6.188165091542079e-24</t>
  </si>
  <si>
    <t>1.625060128727814e-20</t>
  </si>
  <si>
    <t>1.2200763437713232e-20</t>
  </si>
  <si>
    <t>0.001033297794243559</t>
  </si>
  <si>
    <t>0.0007771325839889022</t>
  </si>
  <si>
    <t>0.9992228674160111</t>
  </si>
  <si>
    <t>0.00931711541147541</t>
  </si>
  <si>
    <t>0.006961809483263108</t>
  </si>
  <si>
    <t>0.9930381905167369</t>
  </si>
  <si>
    <t>0.02579623976048967</t>
  </si>
  <si>
    <t>0.019093764682552028</t>
  </si>
  <si>
    <t>0.9809062353174479</t>
  </si>
  <si>
    <t>0.10325023044725681</t>
  </si>
  <si>
    <t>0.072059813552905</t>
  </si>
  <si>
    <t>0.927940186447095</t>
  </si>
  <si>
    <t>P23</t>
  </si>
  <si>
    <t>II.13.23_1_0</t>
  </si>
  <si>
    <t>rho_c = rho_c_0/sqrt(1-v**2/c**2)</t>
  </si>
  <si>
    <t>c*sqrt(1 - rho_c_0**2/rho_c**2)</t>
  </si>
  <si>
    <t>rho_c</t>
  </si>
  <si>
    <t>rho_c_0=[1, 5]</t>
  </si>
  <si>
    <t>6.5*sqrt(1 - rho_c_0**2/rho_c**2)</t>
  </si>
  <si>
    <t>((p0*rho_c*log(rho_c)**p1 + atan(p2 + (p3 + cos(rho_c*exp(rho_c)))*exp(rho_c)))*cos(p4 + rho_c))**p5</t>
  </si>
  <si>
    <t>[-14.8496960000000, -1, -0.994457400000000, 1.00235460000000, -0.0821602600000000, 1/2]</t>
  </si>
  <si>
    <t>0.0022532433134208</t>
  </si>
  <si>
    <t>0.0022528197704394</t>
  </si>
  <si>
    <t>0.9725721874424296</t>
  </si>
  <si>
    <t>4.400730177035563e-05</t>
  </si>
  <si>
    <t>0.0006195345280360158</t>
  </si>
  <si>
    <t>0.007751675418682892</t>
  </si>
  <si>
    <t>0.9922483245813171</t>
  </si>
  <si>
    <t>8.357262233512688e-05</t>
  </si>
  <si>
    <t>0.0010486819711193745</t>
  </si>
  <si>
    <t>0.9989513180288807</t>
  </si>
  <si>
    <t>1.6317150134753384e-05</t>
  </si>
  <si>
    <t>0.00020468615224782528</t>
  </si>
  <si>
    <t>0.9997953138477522</t>
  </si>
  <si>
    <t>0.0014004958211425143</t>
  </si>
  <si>
    <t>0.01719951767762063</t>
  </si>
  <si>
    <t>0.9828004823223794</t>
  </si>
  <si>
    <t>0.0015371344664472223</t>
  </si>
  <si>
    <t>0.018933479951863837</t>
  </si>
  <si>
    <t>0.9810665200481361</t>
  </si>
  <si>
    <t>0.0036054704316857283</t>
  </si>
  <si>
    <t>0.043579315554575976</t>
  </si>
  <si>
    <t>0.956420684445424</t>
  </si>
  <si>
    <t>0.008648749318670983</t>
  </si>
  <si>
    <t>0.09965169749033899</t>
  </si>
  <si>
    <t>0.900348302509661</t>
  </si>
  <si>
    <t>0.0292082922720562</t>
  </si>
  <si>
    <t>0.2780650534868516</t>
  </si>
  <si>
    <t>0.7219349465131484</t>
  </si>
  <si>
    <t>P24</t>
  </si>
  <si>
    <t>I.10.7_1_0</t>
  </si>
  <si>
    <t>m = m_0/sqrt(1-v**2/c**2)</t>
  </si>
  <si>
    <t>c*sqrt(1 - m_0**2/m**2)</t>
  </si>
  <si>
    <t>m</t>
  </si>
  <si>
    <t>m_0=[1, 5]</t>
  </si>
  <si>
    <t>6.5*sqrt(1 - m_0**2/m**2)</t>
  </si>
  <si>
    <t>m*(p0 + p1*cos(m)**p2)</t>
  </si>
  <si>
    <t>[2.02635880000000, 0.146631510000000, -1]</t>
  </si>
  <si>
    <t>[p0, p1, p2]</t>
  </si>
  <si>
    <t>12.93422778150346</t>
  </si>
  <si>
    <t>0.0178247781243088</t>
  </si>
  <si>
    <t>0.0106636440562274</t>
  </si>
  <si>
    <t>1.6455771977912483</t>
  </si>
  <si>
    <t>20.459377987137195</t>
  </si>
  <si>
    <t>3.529625289731129</t>
  </si>
  <si>
    <t>43.931851480659596</t>
  </si>
  <si>
    <t>4.726110916028569</t>
  </si>
  <si>
    <t>58.8409912259214</t>
  </si>
  <si>
    <t>4.05717942257276</t>
  </si>
  <si>
    <t>50.68734499843826</t>
  </si>
  <si>
    <t>12.026496577009034</t>
  </si>
  <si>
    <t>150.5420394790004</t>
  </si>
  <si>
    <t>8.717928268847626</t>
  </si>
  <si>
    <t>106.00928164518007</t>
  </si>
  <si>
    <t>5.197470397741031</t>
  </si>
  <si>
    <t>60.202070937634886</t>
  </si>
  <si>
    <t>9.138880477756587</t>
  </si>
  <si>
    <t>87.06613626846186</t>
  </si>
  <si>
    <t>P25</t>
  </si>
  <si>
    <t>II.15.5_1_0</t>
  </si>
  <si>
    <t>E_n = -p_d*Ef*cos(theta)</t>
  </si>
  <si>
    <t>p_d=[1, 5]</t>
  </si>
  <si>
    <t>E_n*p0*cos(theta)**p3 + p0*atan(p1*(sin(E_n*theta**p3) + cos(theta*(p2 + theta)**p3))*exp(E_n*p3))</t>
  </si>
  <si>
    <t>[-0.230095070000000, 4.76418340000000e-6, -0.976640400000000, -1]</t>
  </si>
  <si>
    <t>0.0094016952151288</t>
  </si>
  <si>
    <t>0.0093941919076698</t>
  </si>
  <si>
    <t>0.9930285687757984</t>
  </si>
  <si>
    <t>0.0001127030708961</t>
  </si>
  <si>
    <t>1.8090830127857712e-21</t>
  </si>
  <si>
    <t>3.330471915315601e-22</t>
  </si>
  <si>
    <t>1.8156688028608717e-21</t>
  </si>
  <si>
    <t>3.342753990685311e-22</t>
  </si>
  <si>
    <t>1.8223800231035534e-21</t>
  </si>
  <si>
    <t>3.3554665821562875e-22</t>
  </si>
  <si>
    <t>0.0051682524378990945</t>
  </si>
  <si>
    <t>0.003811305101249214</t>
  </si>
  <si>
    <t>0.9961886948987508</t>
  </si>
  <si>
    <t>0.005912253184813449</t>
  </si>
  <si>
    <t>0.004360489970655388</t>
  </si>
  <si>
    <t>0.9956395100293446</t>
  </si>
  <si>
    <t>0.00931376034321408</t>
  </si>
  <si>
    <t>0.006878870093593589</t>
  </si>
  <si>
    <t>0.9931211299064064</t>
  </si>
  <si>
    <t>0.02602464631806993</t>
  </si>
  <si>
    <t>0.018976594363307717</t>
  </si>
  <si>
    <t>0.9810234056366922</t>
  </si>
  <si>
    <t>0.10433758792563246</t>
  </si>
  <si>
    <t>0.07195095364965641</t>
  </si>
  <si>
    <t>0.9280490463503437</t>
  </si>
  <si>
    <t>P26</t>
  </si>
  <si>
    <t>Newton cooling</t>
  </si>
  <si>
    <t>T = Ta + (T0-Ta)*exp(-k*t)</t>
  </si>
  <si>
    <t>t</t>
  </si>
  <si>
    <t>T0=[340, 380]; Ta=[285, 305]; k=[0.02, 0.08]</t>
  </si>
  <si>
    <t>T*p7 + p0 + p1*sin(T**p3*p2) + p4*cos(log(T*p5))**p6 + p7*atan(cos(T*p8))</t>
  </si>
  <si>
    <t>[-38.5374030000000, 0.00953031200000000, 0.561126230000000, 2, 15.7855550000000, 241.469570000000, -1, -0.00953031200000000, 1.28266430000000]</t>
  </si>
  <si>
    <t>0.0260944055144303</t>
  </si>
  <si>
    <t>0.0260605414504272</t>
  </si>
  <si>
    <t>0.9968271642912796</t>
  </si>
  <si>
    <t>7.462879160469155e-06</t>
  </si>
  <si>
    <t>2.5698448474521937e-06</t>
  </si>
  <si>
    <t>3.133753401966425e-07</t>
  </si>
  <si>
    <t>0.9999996866246599</t>
  </si>
  <si>
    <t>0.11675748076436249</t>
  </si>
  <si>
    <t>0.02127755750216906</t>
  </si>
  <si>
    <t>0.978722442497831</t>
  </si>
  <si>
    <t>0.15699162959314833</t>
  </si>
  <si>
    <t>0.04079344714918204</t>
  </si>
  <si>
    <t>0.959206552850818</t>
  </si>
  <si>
    <t>1.4720641773352504e-06</t>
  </si>
  <si>
    <t>1.7792435360324793e-07</t>
  </si>
  <si>
    <t>0.9999998220756463</t>
  </si>
  <si>
    <t>0.0029640838716896746</t>
  </si>
  <si>
    <t>0.0003583731145736087</t>
  </si>
  <si>
    <t>0.9996416268854263</t>
  </si>
  <si>
    <t>0.02668825906752307</t>
  </si>
  <si>
    <t>0.0032186680776434265</t>
  </si>
  <si>
    <t>0.9967813319223566</t>
  </si>
  <si>
    <t>0.07383750244702719</t>
  </si>
  <si>
    <t>0.008860920906330352</t>
  </si>
  <si>
    <t>0.9911390790936697</t>
  </si>
  <si>
    <t>0.2989308889379383</t>
  </si>
  <si>
    <t>0.03487536807125301</t>
  </si>
  <si>
    <t>0.965124631928747</t>
  </si>
  <si>
    <t>P27</t>
  </si>
  <si>
    <t>Magnetic field on axis of current loop</t>
  </si>
  <si>
    <t>B = mu0*I*R**2/(2*(R**2+z**2)**(3/2))</t>
  </si>
  <si>
    <t>sqrt((mu0*I*R**2/(2*B))**(2/3) - R**2)</t>
  </si>
  <si>
    <t>z</t>
  </si>
  <si>
    <t>I=[2, 5]; R=[1, 2]</t>
  </si>
  <si>
    <t>mu0=1</t>
  </si>
  <si>
    <t>sqrt(-R**2 + 2**(1/3)*(I*R**2/B)**(2/3)/2)</t>
  </si>
  <si>
    <t>(p0 + (B*p2 + p1 + p3*atan(p4*cos(B*p5)**p6))**p6*cos(B*p7))**p8</t>
  </si>
  <si>
    <t>[-0.104192860000000, 0.0375280981270163, 0.766253344504285, -0.00212170000000000, 1.09133500000000, 2, -1, 0.845459640000000, 0.513173904989980]</t>
  </si>
  <si>
    <t>0.1029864396972022</t>
  </si>
  <si>
    <t>0.0094257307265982</t>
  </si>
  <si>
    <t>0.7720904501881214</t>
  </si>
  <si>
    <t>0.0020467306913152</t>
  </si>
  <si>
    <t>0.0028087517430223094</t>
  </si>
  <si>
    <t>0.006139875484682178</t>
  </si>
  <si>
    <t>0.9938601245153178</t>
  </si>
  <si>
    <t>0.0009638795806186825</t>
  </si>
  <si>
    <t>0.0019491840203293897</t>
  </si>
  <si>
    <t>0.9980508159796706</t>
  </si>
  <si>
    <t>2.3892516684108327e-05</t>
  </si>
  <si>
    <t>5.03291984694754e-05</t>
  </si>
  <si>
    <t>0.9999496708015305</t>
  </si>
  <si>
    <t>0.001614928777674669</t>
  </si>
  <si>
    <t>0.003280710236812423</t>
  </si>
  <si>
    <t>0.9967192897631876</t>
  </si>
  <si>
    <t>0.001988882419840423</t>
  </si>
  <si>
    <t>0.00423653670776058</t>
  </si>
  <si>
    <t>0.9957634632922394</t>
  </si>
  <si>
    <t>0.0031016608534077325</t>
  </si>
  <si>
    <t>0.006537823787912773</t>
  </si>
  <si>
    <t>0.9934621762120872</t>
  </si>
  <si>
    <t>0.0063853820526789465</t>
  </si>
  <si>
    <t>0.013615977543449393</t>
  </si>
  <si>
    <t>0.9863840224565505</t>
  </si>
  <si>
    <t>0.02002998787721192</t>
  </si>
  <si>
    <t>0.04091597818148937</t>
  </si>
  <si>
    <t>0.9590840218185106</t>
  </si>
  <si>
    <t>P28</t>
  </si>
  <si>
    <t>Kepler third law (Newtonian two-body form)</t>
  </si>
  <si>
    <t>t = 2*pi*d**(3/2)/sqrt(G*(m1+m2))</t>
  </si>
  <si>
    <t>(G*M*T**2/(4*pi**2))**(1/3)</t>
  </si>
  <si>
    <t>M=[2, 6]</t>
  </si>
  <si>
    <t>G=2; pi=3.14159</t>
  </si>
  <si>
    <t>0.233097169776895*2**(2/3)*(M*T**2)**(1/3)</t>
  </si>
  <si>
    <t>T**p1*p0*(p2 + p3*cos(T*p5 + p4*exp(T)))</t>
  </si>
  <si>
    <t>[1.82325743538057, 0.667824150000000, 0.351772550000000, 0.000980752000000000, 0.318748380000000, 1.71398380000000]</t>
  </si>
  <si>
    <t>0.0041552909638519</t>
  </si>
  <si>
    <t>0.0041520863906446</t>
  </si>
  <si>
    <t>0.9872761318022332</t>
  </si>
  <si>
    <t>0.0007673302544684</t>
  </si>
  <si>
    <t>1.1568949942586161e-23</t>
  </si>
  <si>
    <t>3.5586849878762043e-23</t>
  </si>
  <si>
    <t>1.1007449311928866e-23</t>
  </si>
  <si>
    <t>3.385638025831203e-23</t>
  </si>
  <si>
    <t>1.0766628753682887e-23</t>
  </si>
  <si>
    <t>3.3111818238961695e-23</t>
  </si>
  <si>
    <t>1.3377720137736937e-23</t>
  </si>
  <si>
    <t>4.1593541190381385e-23</t>
  </si>
  <si>
    <t>0.00045564668883080433</t>
  </si>
  <si>
    <t>0.0014158798259400985</t>
  </si>
  <si>
    <t>0.99858412017406</t>
  </si>
  <si>
    <t>0.004194154091282806</t>
  </si>
  <si>
    <t>0.012886986826905394</t>
  </si>
  <si>
    <t>0.9871130131730945</t>
  </si>
  <si>
    <t>0.011743937951351233</t>
  </si>
  <si>
    <t>0.03528476763134934</t>
  </si>
  <si>
    <t>0.9647152323686506</t>
  </si>
  <si>
    <t>0.04629420517771913</t>
  </si>
  <si>
    <t>0.12560324560372596</t>
  </si>
  <si>
    <t>0.8743967543962741</t>
  </si>
  <si>
    <t>P29</t>
  </si>
  <si>
    <t>Uniform-acceleration position</t>
  </si>
  <si>
    <t>x = x0 + v0*t + 0.5*a*t**2</t>
  </si>
  <si>
    <t>(-v0 + sqrt(v0**2 + 2*a*(x-x0)))/a</t>
  </si>
  <si>
    <t>x0=[0, 2]; v0=[1, 4]; a=[0.5, 2]</t>
  </si>
  <si>
    <t>(-v0 + sqrt(2*a*(x - x0) + v0**2))/a</t>
  </si>
  <si>
    <t>p0 + (p1 + p2*x)**p3 + (p4 + x)*atan(p5*atan(atan(p6*sin(p7*exp(x)) + sin(p8*exp(x)**p3))))</t>
  </si>
  <si>
    <t>[-2.09772130000000, 3.10419161605150, 1.45998190000000, 1/2, -7.07272670000000, 0.00111808220000000, -1, 1.06441370000000, 1.00047538545987]</t>
  </si>
  <si>
    <t>0.0097214227917816</t>
  </si>
  <si>
    <t>0.0097136731045446</t>
  </si>
  <si>
    <t>0.994763386377906</t>
  </si>
  <si>
    <t>3.2312093469853965e-07</t>
  </si>
  <si>
    <t>1.9336150472333007e-23</t>
  </si>
  <si>
    <t>1.0413218607391232e-23</t>
  </si>
  <si>
    <t>1.754166503759843e-23</t>
  </si>
  <si>
    <t>9.524430342281465e-24</t>
  </si>
  <si>
    <t>0.0007003343740444153</t>
  </si>
  <si>
    <t>0.0003983290992674799</t>
  </si>
  <si>
    <t>0.9996016709007325</t>
  </si>
  <si>
    <t>1.9156756563278604e-23</t>
  </si>
  <si>
    <t>1.0219290664629382e-23</t>
  </si>
  <si>
    <t>0.001051157214556008</t>
  </si>
  <si>
    <t>0.0005608268683982144</t>
  </si>
  <si>
    <t>0.9994391731316018</t>
  </si>
  <si>
    <t>0.009494683036870958</t>
  </si>
  <si>
    <t>0.005044529257916097</t>
  </si>
  <si>
    <t>0.9949554707420839</t>
  </si>
  <si>
    <t>0.026782778937992812</t>
  </si>
  <si>
    <t>0.014082534144589803</t>
  </si>
  <si>
    <t>0.9859174658554102</t>
  </si>
  <si>
    <t>0.10586477009296158</t>
  </si>
  <si>
    <t>0.05327555378730256</t>
  </si>
  <si>
    <t>0.9467244462126974</t>
  </si>
  <si>
    <t>P30</t>
  </si>
  <si>
    <t>Linear-drag velocity relaxation</t>
  </si>
  <si>
    <t>v = v_inf + (v0-v_inf)*exp(-t/tau)</t>
  </si>
  <si>
    <t>v_inf=[0, 2]; v0=[8, 12]; tau=[1, 4]</t>
  </si>
  <si>
    <t>p0 + p1*log(p2*(p3 + v)**p4) + p5*exp(p6*v)*sin(p7 + p8*v*(p9 + v))</t>
  </si>
  <si>
    <t>[-0.138023080000000, 1.97044830000000, 10.2019570000000, -0.564413550000000, -1, 1.42798470000000, -3.63299565123155, 0.938119200000000, 2, -1783.00540000000]</t>
  </si>
  <si>
    <t>[p0, p1, p2, p3, p4, p5, p6, p7, p8, p9]</t>
  </si>
  <si>
    <t>0.0092311740012498</t>
  </si>
  <si>
    <t>0.0088613696774601</t>
  </si>
  <si>
    <t>0.9979290520160384</t>
  </si>
  <si>
    <t>0.0001581985408151</t>
  </si>
  <si>
    <t>0.028583120375780285</t>
  </si>
  <si>
    <t>0.007045782153802669</t>
  </si>
  <si>
    <t>0.9929542178461973</t>
  </si>
  <si>
    <t>0.04023269430321017</t>
  </si>
  <si>
    <t>0.009538817778253723</t>
  </si>
  <si>
    <t>0.9904611822217463</t>
  </si>
  <si>
    <t>0.048967314384729906</t>
  </si>
  <si>
    <t>0.008426832220030095</t>
  </si>
  <si>
    <t>0.99157316777997</t>
  </si>
  <si>
    <t>2.283791376089654e-21</t>
  </si>
  <si>
    <t>5.335208363793255e-22</t>
  </si>
  <si>
    <t>0.0008683901207992204</t>
  </si>
  <si>
    <t>0.00021867324444743838</t>
  </si>
  <si>
    <t>0.9997813267555526</t>
  </si>
  <si>
    <t>0.05986538705586957</t>
  </si>
  <si>
    <t>0.01211697300952801</t>
  </si>
  <si>
    <t>0.9878830269904719</t>
  </si>
  <si>
    <t>0.07332904777097818</t>
  </si>
  <si>
    <t>0.015520763446169893</t>
  </si>
  <si>
    <t>0.9844792365538301</t>
  </si>
  <si>
    <t>0.08587030133036869</t>
  </si>
  <si>
    <t>0.02123774417323296</t>
  </si>
  <si>
    <t>0.978762255826767</t>
  </si>
  <si>
    <t>P31</t>
  </si>
  <si>
    <t>Quadratic-drag terminal fall from rest</t>
  </si>
  <si>
    <t>v = v_t*tanh(g*t/v_t)</t>
  </si>
  <si>
    <t>(v_t/g)*atanh(v/v_t)</t>
  </si>
  <si>
    <t>v_t=[20, 50]</t>
  </si>
  <si>
    <t>g=9.81</t>
  </si>
  <si>
    <t>0.101936799184506*v_t*atanh(v/v_t)</t>
  </si>
  <si>
    <t>v*(p0 + p1*exp(p2*v)*exp(p3*v*cos(p4*v**p5)))</t>
  </si>
  <si>
    <t>[0.0986436200000000, 0.00219461600000000, 0.118064710000000, 0.000919150800000000, 1.09228280000000, 2]</t>
  </si>
  <si>
    <t>0.002297013634694</t>
  </si>
  <si>
    <t>0.0022899739412297</t>
  </si>
  <si>
    <t>0.9967814700592496</t>
  </si>
  <si>
    <t>0.0001946134193344</t>
  </si>
  <si>
    <t>6.857742125607376e-07</t>
  </si>
  <si>
    <t>9.89930198462661e-07</t>
  </si>
  <si>
    <t>0.9999990100698015</t>
  </si>
  <si>
    <t>6.400139970917126e-07</t>
  </si>
  <si>
    <t>9.210525780868795e-07</t>
  </si>
  <si>
    <t>0.9999990789474219</t>
  </si>
  <si>
    <t>6.149779345003481e-07</t>
  </si>
  <si>
    <t>8.834360354941565e-07</t>
  </si>
  <si>
    <t>0.9999991165639645</t>
  </si>
  <si>
    <t>2.0328912834897293e-06</t>
  </si>
  <si>
    <t>3.0796546930723512e-06</t>
  </si>
  <si>
    <t>0.999996920345307</t>
  </si>
  <si>
    <t>0.00023904210011678318</t>
  </si>
  <si>
    <t>0.0003501023390253244</t>
  </si>
  <si>
    <t>0.9996498976609747</t>
  </si>
  <si>
    <t>0.0021177760789588343</t>
  </si>
  <si>
    <t>0.0030969490306631264</t>
  </si>
  <si>
    <t>0.9969030509693368</t>
  </si>
  <si>
    <t>0.005860862483202683</t>
  </si>
  <si>
    <t>0.0085288031087149</t>
  </si>
  <si>
    <t>0.9914711968912852</t>
  </si>
  <si>
    <t>0.023724677089554707</t>
  </si>
  <si>
    <t>0.033550450098432286</t>
  </si>
  <si>
    <t>0.9664495499015677</t>
  </si>
  <si>
    <t>P33</t>
  </si>
  <si>
    <t>Mixed linear-quadratic drag</t>
  </si>
  <si>
    <t>F_drag = b*v + c2*v**2</t>
  </si>
  <si>
    <t>(-b + sqrt(b**2 + 4*c2*F_drag))/(2*c2)</t>
  </si>
  <si>
    <t>F_drag</t>
  </si>
  <si>
    <t>b=[0.5, 2]; c2=[0.1, 0.5]</t>
  </si>
  <si>
    <t>(-b + sqrt(4*F_drag*c2 + b**2))/(2*c2)</t>
  </si>
  <si>
    <t>F_drag*(F_drag*(p1 + p2*(F_drag*p4 + p3 + cos(F_drag*p9 + p5 + (p6*p7**p8)**F_drag))**p8) + p0)</t>
  </si>
  <si>
    <t>[0.855237540000000, -0.00352283120000000, 8.16531700000000, -69.9082734523405, -15.4543558998456, 0.290737750000000, 1.03603740000000, 0.0299124600000000, -1, 2]</t>
  </si>
  <si>
    <t>0.0271433138932115</t>
  </si>
  <si>
    <t>0.0180870942490838</t>
  </si>
  <si>
    <t>0.9856800220133164</t>
  </si>
  <si>
    <t>3.9173299118780735e-05</t>
  </si>
  <si>
    <t>0.00017651253769363715</t>
  </si>
  <si>
    <t>9.422306507206175e-05</t>
  </si>
  <si>
    <t>0.999905776934928</t>
  </si>
  <si>
    <t>0.02205077892872616</t>
  </si>
  <si>
    <t>0.011760343588471441</t>
  </si>
  <si>
    <t>0.9882396564115286</t>
  </si>
  <si>
    <t>0.014867610668300927</t>
  </si>
  <si>
    <t>0.008210848127192659</t>
  </si>
  <si>
    <t>0.9917891518728074</t>
  </si>
  <si>
    <t>0.009897667354102413</t>
  </si>
  <si>
    <t>0.005347737106298567</t>
  </si>
  <si>
    <t>0.9946522628937015</t>
  </si>
  <si>
    <t>0.15118287229827618</t>
  </si>
  <si>
    <t>0.08160159852684168</t>
  </si>
  <si>
    <t>0.9183984014731583</t>
  </si>
  <si>
    <t>0.12809336025847573</t>
  </si>
  <si>
    <t>0.06836119376079862</t>
  </si>
  <si>
    <t>0.9316388062392014</t>
  </si>
  <si>
    <t>0.15765184622618825</t>
  </si>
  <si>
    <t>0.08492428312396269</t>
  </si>
  <si>
    <t>0.9150757168760373</t>
  </si>
  <si>
    <t>0.24319208102678777</t>
  </si>
  <si>
    <t>0.12469298164560441</t>
  </si>
  <si>
    <t>0.8753070183543956</t>
  </si>
  <si>
    <t>P34</t>
  </si>
  <si>
    <t>Vis-viva orbital speed</t>
  </si>
  <si>
    <t>v = sqrt(G*M*(2/r - 1/a_orbit))</t>
  </si>
  <si>
    <t>2*G*M*a_orbit/(a_orbit*v**2 + G*M)</t>
  </si>
  <si>
    <t>M=[2, 5]; a_orbit=[4, 8]</t>
  </si>
  <si>
    <t>G=1</t>
  </si>
  <si>
    <t>2*M*a_orbit/(M + a_orbit*v**2)</t>
  </si>
  <si>
    <t>p0*((p1 + p3*exp(p4*cos((p5 + v)**p6))**p7 + v**p2)**p4)**p8</t>
  </si>
  <si>
    <t>[7.89750325511781, -0.402177780000000, 2, 1.00863056251676, -1, 4.23154640000000, 7.66275550000000, 0.00410971230000000, 1.01403140000000]</t>
  </si>
  <si>
    <t>0.0154812104215151</t>
  </si>
  <si>
    <t>0.0154692125354803</t>
  </si>
  <si>
    <t>0.9923091730713652</t>
  </si>
  <si>
    <t>0.0024573928203588</t>
  </si>
  <si>
    <t>7.856196615618183e-23</t>
  </si>
  <si>
    <t>3.883265025236441e-23</t>
  </si>
  <si>
    <t>8.664588185313533e-23</t>
  </si>
  <si>
    <t>4.3002320899041993e-23</t>
  </si>
  <si>
    <t>9.135911767862071e-23</t>
  </si>
  <si>
    <t>4.54442349292099e-23</t>
  </si>
  <si>
    <t>8.148546023763083e-23</t>
  </si>
  <si>
    <t>4.046552866517244e-23</t>
  </si>
  <si>
    <t>0.0017055904212180712</t>
  </si>
  <si>
    <t>0.0008425170148412179</t>
  </si>
  <si>
    <t>0.9991574829851588</t>
  </si>
  <si>
    <t>0.015305736213529642</t>
  </si>
  <si>
    <t>0.007509462893994248</t>
  </si>
  <si>
    <t>0.9924905371060058</t>
  </si>
  <si>
    <t>0.0423161785259274</t>
  </si>
  <si>
    <t>0.020504147300847535</t>
  </si>
  <si>
    <t>0.9794958526991525</t>
  </si>
  <si>
    <t>0.17157318139906375</t>
  </si>
  <si>
    <t>0.07787552477962575</t>
  </si>
  <si>
    <t>0.9221244752203743</t>
  </si>
  <si>
    <t>P35</t>
  </si>
  <si>
    <t>Schwarzschild gravitational redshift</t>
  </si>
  <si>
    <t>z = 1/sqrt(1-r_s/r) - 1</t>
  </si>
  <si>
    <t>r_s*(1+z)**2/(z*(z+2))</t>
  </si>
  <si>
    <t>r_s=[1, 3]</t>
  </si>
  <si>
    <t>r_s*(z + 1)**2/(z*(z + 2))</t>
  </si>
  <si>
    <t>p0 + z**p1*(p2 + (p1*sin(z**p3) + z**z)*sin(z**p7)*atanh(p1 + Mod(p4 + p5*z, p6)))</t>
  </si>
  <si>
    <t>[1.11127820000000, -1, 0.716571200000000, -1.06954380000000, 0.993473812957407, 0.0359688360000000, 2, -2.06228140000000]</t>
  </si>
  <si>
    <t>0.0385525899254702</t>
  </si>
  <si>
    <t>0.0384935273228252</t>
  </si>
  <si>
    <t>0.9906383216622952</t>
  </si>
  <si>
    <t>6.763346546935813e-06</t>
  </si>
  <si>
    <t>1.839975236789813e-06</t>
  </si>
  <si>
    <t>4.941907610496221e-07</t>
  </si>
  <si>
    <t>0.999999505809239</t>
  </si>
  <si>
    <t>3.853315007273935e-06</t>
  </si>
  <si>
    <t>1.0918155671725102e-06</t>
  </si>
  <si>
    <t>0.9999989081844328</t>
  </si>
  <si>
    <t>4.383882036496243e-06</t>
  </si>
  <si>
    <t>1.258323425183337e-06</t>
  </si>
  <si>
    <t>0.9999987416765748</t>
  </si>
  <si>
    <t>4.0130746291616e-06</t>
  </si>
  <si>
    <t>1.0853270610901536e-06</t>
  </si>
  <si>
    <t>0.9999989146729389</t>
  </si>
  <si>
    <t>0.0039920497983754405</t>
  </si>
  <si>
    <t>0.0010385829393585984</t>
  </si>
  <si>
    <t>0.9989614170606413</t>
  </si>
  <si>
    <t>0.036867896699286355</t>
  </si>
  <si>
    <t>0.009491726264335556</t>
  </si>
  <si>
    <t>0.9905082737356645</t>
  </si>
  <si>
    <t>0.10195494470207386</t>
  </si>
  <si>
    <t>0.025847240907790274</t>
  </si>
  <si>
    <t>0.9741527590922097</t>
  </si>
  <si>
    <t>0.4035978639778215</t>
  </si>
  <si>
    <t>0.09554649309928788</t>
  </si>
  <si>
    <t>0.9044535069007121</t>
  </si>
  <si>
    <t>P36</t>
  </si>
  <si>
    <t>Capacitor charging with effective time constant</t>
  </si>
  <si>
    <t>V = V_inf*(1-exp(-t/tau))</t>
  </si>
  <si>
    <t>V</t>
  </si>
  <si>
    <t>V_inf=[8, 12]; tau=[1, 4]</t>
  </si>
  <si>
    <t>V*(p0 + p1*(cos(V*p3 + p2)**p4)**p5)</t>
  </si>
  <si>
    <t>[-0.326646570000000, 0.547195811899764, 0.810487309702868, 0.0691684527113964, -1, 1/4]</t>
  </si>
  <si>
    <t>0.0102836053111195</t>
  </si>
  <si>
    <t>0.0098377055610991</t>
  </si>
  <si>
    <t>0.99792123504839</t>
  </si>
  <si>
    <t>0.001280261124128</t>
  </si>
  <si>
    <t>9.741128393911435e-07</t>
  </si>
  <si>
    <t>2.470896846819819e-07</t>
  </si>
  <si>
    <t>0.9999997529103153</t>
  </si>
  <si>
    <t>5.102138561525477e-07</t>
  </si>
  <si>
    <t>1.1423483995849801e-07</t>
  </si>
  <si>
    <t>0.99999988576516</t>
  </si>
  <si>
    <t>3.49823530370122e-07</t>
  </si>
  <si>
    <t>7.366658873005733e-08</t>
  </si>
  <si>
    <t>0.9999999263334113</t>
  </si>
  <si>
    <t>0.0013091196448076642</t>
  </si>
  <si>
    <t>0.00047478527790096366</t>
  </si>
  <si>
    <t>0.9995252147220991</t>
  </si>
  <si>
    <t>0.002190637596006414</t>
  </si>
  <si>
    <t>0.0007302999739558378</t>
  </si>
  <si>
    <t>0.9992697000260442</t>
  </si>
  <si>
    <t>0.013384316570653101</t>
  </si>
  <si>
    <t>0.004243620545299189</t>
  </si>
  <si>
    <t>0.9957563794547009</t>
  </si>
  <si>
    <t>0.034101584933803095</t>
  </si>
  <si>
    <t>0.010671271345463538</t>
  </si>
  <si>
    <t>0.9893287286545365</t>
  </si>
  <si>
    <t>0.09139960253784055</t>
  </si>
  <si>
    <t>0.026080108038498646</t>
  </si>
  <si>
    <t>0.9739198919615013</t>
  </si>
  <si>
    <t>P37</t>
  </si>
  <si>
    <t>Driven-oscillator response with effective drive acceleration</t>
  </si>
  <si>
    <t>Amp = a0/sqrt((omega0**2-omega**2)**2 + 4*gamma**2*omega**2)</t>
  </si>
  <si>
    <t>sqrt(omega0**2 - 2*gamma**2 + sqrt((a0/Amp)**2 + 4*gamma**2*(gamma**2-omega0**2)))</t>
  </si>
  <si>
    <t>Amp</t>
  </si>
  <si>
    <t>a0=[1, 3]; omega0=[3, 5]; gamma=[0.2, 0.6]</t>
  </si>
  <si>
    <t>sqrt(-2*gamma**2 + omega0**2 + sqrt(4*gamma**2*(gamma**2 - omega0**2) + a0**2/Amp**2))</t>
  </si>
  <si>
    <t>Amp**p1*p3 + p0 + p1*tanh(Amp*p2) + p4*(p5 + atan(Amp)**p6)**p7*atan(Amp)</t>
  </si>
  <si>
    <t>[5.54707860000000, -1, 5.21231840000000, 0.129225970000000, -0.0112337170000000, 1, 2, -1/2]</t>
  </si>
  <si>
    <t>0.0361494648059445</t>
  </si>
  <si>
    <t>0.0361371567200222</t>
  </si>
  <si>
    <t>0.9264552214686887</t>
  </si>
  <si>
    <t>1.1363318399046144e-07</t>
  </si>
  <si>
    <t>5.824164634229494e-07</t>
  </si>
  <si>
    <t>1.3242851495079072e-06</t>
  </si>
  <si>
    <t>0.9999986757148505</t>
  </si>
  <si>
    <t>1.0799422638175601e-06</t>
  </si>
  <si>
    <t>2.451518241725419e-06</t>
  </si>
  <si>
    <t>0.9999975484817583</t>
  </si>
  <si>
    <t>9.757687602228597e-07</t>
  </si>
  <si>
    <t>2.2181767557649155e-06</t>
  </si>
  <si>
    <t>0.9999977818232443</t>
  </si>
  <si>
    <t>3.5176904690974913e-07</t>
  </si>
  <si>
    <t>7.786825402993536e-07</t>
  </si>
  <si>
    <t>0.9999992213174598</t>
  </si>
  <si>
    <t>0.004115447279383884</t>
  </si>
  <si>
    <t>0.008894036599126593</t>
  </si>
  <si>
    <t>0.9911059634008734</t>
  </si>
  <si>
    <t>0.03593385324242169</t>
  </si>
  <si>
    <t>0.07278092120302666</t>
  </si>
  <si>
    <t>0.9272190787969734</t>
  </si>
  <si>
    <t>0.10298357870515387</t>
  </si>
  <si>
    <t>0.18363574787502193</t>
  </si>
  <si>
    <t>0.8163642521249781</t>
  </si>
  <si>
    <t>0.4146274932642996</t>
  </si>
  <si>
    <t>0.47803005865998993</t>
  </si>
  <si>
    <t>0.5219699413400101</t>
  </si>
  <si>
    <t>P39</t>
  </si>
  <si>
    <t>Gaussian-beam radius</t>
  </si>
  <si>
    <t>w = w0*sqrt(1+(z/z_R)**2)</t>
  </si>
  <si>
    <t>z_R*sqrt((w/w0)**2 - 1)</t>
  </si>
  <si>
    <t>w</t>
  </si>
  <si>
    <t>w0=[1, 2]; z_R=[2, 5]</t>
  </si>
  <si>
    <t>z_R*sqrt(w**2/w0**2 - 1)</t>
  </si>
  <si>
    <t>p0*((p1 + p2*(w + sin(p3*w**p3))*sin(p4*exp(w)))*(p3*w**p3 + p5))**p6</t>
  </si>
  <si>
    <t>[0.542814200000000, 16.4548600000000, -0.0431233073023801, 2, 13106536217.0959, -2.82951500000000, 1/2]</t>
  </si>
  <si>
    <t>0.0206978444029963</t>
  </si>
  <si>
    <t>0.0131783765224941</t>
  </si>
  <si>
    <t>0.9861104279325962</t>
  </si>
  <si>
    <t>3.0306074093523005e-05</t>
  </si>
  <si>
    <t>2.4844560087071446</t>
  </si>
  <si>
    <t>1.6612724351866544</t>
  </si>
  <si>
    <t>5.589825364581085</t>
  </si>
  <si>
    <t>3.7660942987605477</t>
  </si>
  <si>
    <t>5.893032130527972</t>
  </si>
  <si>
    <t>3.9772699659898576</t>
  </si>
  <si>
    <t>6.918194773015787</t>
  </si>
  <si>
    <t>4.590856736576756</t>
  </si>
  <si>
    <t>7.84863798670418</t>
  </si>
  <si>
    <t>5.2052791753078855</t>
  </si>
  <si>
    <t>6.920352392373482</t>
  </si>
  <si>
    <t>4.572470525123049</t>
  </si>
  <si>
    <t>8.658795211351684</t>
  </si>
  <si>
    <t>5.665042891044951</t>
  </si>
  <si>
    <t>8.29430337904993</t>
  </si>
  <si>
    <t>5.148134387135485</t>
  </si>
  <si>
    <t>P40</t>
  </si>
  <si>
    <t>Net Stefan-Boltzmann radiation</t>
  </si>
  <si>
    <t>P = Area*sigma*(T**4-Ta**4)</t>
  </si>
  <si>
    <t>(P/(Area*sigma) + Ta**4)**(1/4)</t>
  </si>
  <si>
    <t>P</t>
  </si>
  <si>
    <t>Area=[1, 3]; Ta=[1, 2.5]</t>
  </si>
  <si>
    <t>sigma=1</t>
  </si>
  <si>
    <t>(Ta**4 + P/Area)**(1/4)</t>
  </si>
  <si>
    <t>(P*p1 + P**p2*(p3*sin(P*p4) + sin(P**p7*p6) + cos(P*p5)) + p0)**p8</t>
  </si>
  <si>
    <t>[4.48305172711510, 0.452503830000000, 0.301482620000000, -1, 1.18139771163263, 0.594570600000000, 0.391983570000000, 2, 1/4]</t>
  </si>
  <si>
    <t>0.0393783308721498</t>
  </si>
  <si>
    <t>0.0393553185413361</t>
  </si>
  <si>
    <t>0.972382542097907</t>
  </si>
  <si>
    <t>0.0001578327240362</t>
  </si>
  <si>
    <t>3.317346929285027e-22</t>
  </si>
  <si>
    <t>2.3443713733614916e-22</t>
  </si>
  <si>
    <t>1.6269751028274285e-21</t>
  </si>
  <si>
    <t>1.138471049922518e-21</t>
  </si>
  <si>
    <t>1.0294085836944166e-21</t>
  </si>
  <si>
    <t>7.205271963673003e-22</t>
  </si>
  <si>
    <t>8.327975262768975e-22</t>
  </si>
  <si>
    <t>5.857110444482706e-22</t>
  </si>
  <si>
    <t>0.004320841528492213</t>
  </si>
  <si>
    <t>0.0030393354532765957</t>
  </si>
  <si>
    <t>0.9969606645467234</t>
  </si>
  <si>
    <t>0.03883509528747955</t>
  </si>
  <si>
    <t>0.0266631970942845</t>
  </si>
  <si>
    <t>0.9733368029057154</t>
  </si>
  <si>
    <t>0.10887661154216977</t>
  </si>
  <si>
    <t>0.07150399383755854</t>
  </si>
  <si>
    <t>0.9284960061624414</t>
  </si>
  <si>
    <t>0.42970265014413156</t>
  </si>
  <si>
    <t>0.2332958514015041</t>
  </si>
  <si>
    <t>0.766704148598496</t>
  </si>
  <si>
    <t>P41</t>
  </si>
  <si>
    <t>Polytropic/adiabatic pressure-volume law</t>
  </si>
  <si>
    <t>P = K_poly*V**(-gamma)</t>
  </si>
  <si>
    <t>(K_poly/P)**(1/gamma)</t>
  </si>
  <si>
    <t>K_poly=[10, 30]; gamma=[1.2, 1.7]</t>
  </si>
  <si>
    <t>P**p0*(P**p2*p1 + P**p3*(p0*cos(exp(P*p5 + p4)) + sin(p6)))</t>
  </si>
  <si>
    <t>[-1, 10.0644090000000, 0.274970050000000, -2, 1, 2.18377920000000, 0.116716610000000]</t>
  </si>
  <si>
    <t>0.0036752268222064</t>
  </si>
  <si>
    <t>0.003668370818533</t>
  </si>
  <si>
    <t>0.9953066148898986</t>
  </si>
  <si>
    <t>0.0013796197707664</t>
  </si>
  <si>
    <t>1.1556636947147984e-23</t>
  </si>
  <si>
    <t>1.499995681890209e-23</t>
  </si>
  <si>
    <t>1.1025204038086263e-23</t>
  </si>
  <si>
    <t>1.6306570208998083e-23</t>
  </si>
  <si>
    <t>1.0705426691077538e-23</t>
  </si>
  <si>
    <t>1.72081626684622e-23</t>
  </si>
  <si>
    <t>1.1733443002475077e-23</t>
  </si>
  <si>
    <t>1.5195301796232445e-23</t>
  </si>
  <si>
    <t>0.00041126274583126206</t>
  </si>
  <si>
    <t>0.0005327596353240968</t>
  </si>
  <si>
    <t>0.9994672403646758</t>
  </si>
  <si>
    <t>0.003742375364518481</t>
  </si>
  <si>
    <t>0.004814103339439985</t>
  </si>
  <si>
    <t>0.99518589666056</t>
  </si>
  <si>
    <t>0.010319681851174975</t>
  </si>
  <si>
    <t>0.013183058681981653</t>
  </si>
  <si>
    <t>0.9868169413180183</t>
  </si>
  <si>
    <t>0.04168237170010147</t>
  </si>
  <si>
    <t>0.05110460748432534</t>
  </si>
  <si>
    <t>0.9488953925156747</t>
  </si>
  <si>
    <t>P42</t>
  </si>
  <si>
    <t>Fermi-Dirac occupation</t>
  </si>
  <si>
    <t>f_occ = 1/(exp((E-mu)/(kb*T_par))+1)</t>
  </si>
  <si>
    <t>mu + kb*T_par*log(1/f_occ - 1)</t>
  </si>
  <si>
    <t>E</t>
  </si>
  <si>
    <t>f_occ</t>
  </si>
  <si>
    <t>mu=[-1, 1]; T_par=[0.5, 2]</t>
  </si>
  <si>
    <t>kb=1</t>
  </si>
  <si>
    <t>T_par*log(-1 + 1/f_occ) + mu</t>
  </si>
  <si>
    <t>p0*atanh(p1 + Mod(f_occ*p3 + p2, p4)) + exp(p1*tanh(f_occ + p5 + atan(f_occ*(f_occ*(f_occ + p8)**p1 + p6*(f_occ + p7)**p1))))</t>
  </si>
  <si>
    <t>[-2.65926186336606, -1, 1.99998141155592, 2.00023440000000, 2, 1.75063990000000, 0.0134498642927607, -0.963923200074519, -0.0316329080000000]</t>
  </si>
  <si>
    <t>0.3827599115681887</t>
  </si>
  <si>
    <t>0.0218029879120988</t>
  </si>
  <si>
    <t>0.8965860253491464</t>
  </si>
  <si>
    <t>0.002087431920985</t>
  </si>
  <si>
    <t>0.17449359141175225</t>
  </si>
  <si>
    <t>0.04413364171908245</t>
  </si>
  <si>
    <t>0.9558663582809175</t>
  </si>
  <si>
    <t>0.04323106283490649</t>
  </si>
  <si>
    <t>0.009168283732421156</t>
  </si>
  <si>
    <t>0.9908317162675788</t>
  </si>
  <si>
    <t>0.007582284625794898</t>
  </si>
  <si>
    <t>0.0014881699105242646</t>
  </si>
  <si>
    <t>0.9985118300894757</t>
  </si>
  <si>
    <t>0.27391131221932874</t>
  </si>
  <si>
    <t>0.08740765391192556</t>
  </si>
  <si>
    <t>0.9125923460880745</t>
  </si>
  <si>
    <t>0.2992173952810991</t>
  </si>
  <si>
    <t>0.09670855852463237</t>
  </si>
  <si>
    <t>0.9032914414753677</t>
  </si>
  <si>
    <t>0.2773744511277978</t>
  </si>
  <si>
    <t>0.0883323824069826</t>
  </si>
  <si>
    <t>0.9116676175930174</t>
  </si>
  <si>
    <t>0.2756583569567853</t>
  </si>
  <si>
    <t>0.08717718158626275</t>
  </si>
  <si>
    <t>0.9128228184137372</t>
  </si>
  <si>
    <t>0.30218838912400064</t>
  </si>
  <si>
    <t>0.09410390323648063</t>
  </si>
  <si>
    <t>0.9058960967635193</t>
  </si>
  <si>
    <t>P44</t>
  </si>
  <si>
    <t>Uniform-acceleration velocity</t>
  </si>
  <si>
    <t>v = v0 + a*t</t>
  </si>
  <si>
    <t>(v-v0)/a</t>
  </si>
  <si>
    <t>v0=[1, 4]; a=[0.5, 2]</t>
  </si>
  <si>
    <t>(v - v0)/a</t>
  </si>
  <si>
    <t>(p0 + v)*(p1 + p2*sin(p3**v) + p2*sin((v**p4)**p5))</t>
  </si>
  <si>
    <t>[-2.94478250000000, 0.801757300000000, -0.00211030700000000, 1.23447130000000, 2, 1.48922380000000]</t>
  </si>
  <si>
    <t>0.030041159845584</t>
  </si>
  <si>
    <t>0.0300293837832711</t>
  </si>
  <si>
    <t>0.9963763444649394</t>
  </si>
  <si>
    <t>0.0010339968996566</t>
  </si>
  <si>
    <t>1.9417716265181494e-22</t>
  </si>
  <si>
    <t>2.3410149095653844e-23</t>
  </si>
  <si>
    <t>1.7682183421664236e-22</t>
  </si>
  <si>
    <t>2.132778888817785e-23</t>
  </si>
  <si>
    <t>1.62773837458706e-22</t>
  </si>
  <si>
    <t>1.9631501021414664e-23</t>
  </si>
  <si>
    <t>2.144428842143076e-22</t>
  </si>
  <si>
    <t>2.5728716214802655e-23</t>
  </si>
  <si>
    <t>0.003360362544299283</t>
  </si>
  <si>
    <t>0.0004032322708580695</t>
  </si>
  <si>
    <t>0.999596767729142</t>
  </si>
  <si>
    <t>0.03013826418830605</t>
  </si>
  <si>
    <t>0.0036104184395631426</t>
  </si>
  <si>
    <t>0.9963895815604369</t>
  </si>
  <si>
    <t>0.08454678571621424</t>
  </si>
  <si>
    <t>0.010049028675998595</t>
  </si>
  <si>
    <t>0.9899509713240014</t>
  </si>
  <si>
    <t>0.3325508573574806</t>
  </si>
  <si>
    <t>0.03848353020010526</t>
  </si>
  <si>
    <t>0.9615164697998948</t>
  </si>
  <si>
    <t>P45</t>
  </si>
  <si>
    <t>Small-angle pendulum period</t>
  </si>
  <si>
    <t>T = 2*pi*sqrt(L/g)</t>
  </si>
  <si>
    <t>g*T**2/(4*pi**2)</t>
  </si>
  <si>
    <t>L</t>
  </si>
  <si>
    <t>g=[5, 15]</t>
  </si>
  <si>
    <t>pi=3.14159</t>
  </si>
  <si>
    <t>0.02533033870181*T**2*g</t>
  </si>
  <si>
    <t>T**p0*(T**p0*p2*(p3 + sin(exp(T*p4)) + sin(exp(T**p0*p5))) + p1)</t>
  </si>
  <si>
    <t>[2, 0.332484130000000, -0.000102218010000000, 0.853768700000000, 2.15859530000000, 1.10915720000000]</t>
  </si>
  <si>
    <t>0.0066101867567335</t>
  </si>
  <si>
    <t>0.0066072112986322</t>
  </si>
  <si>
    <t>0.9961908001554411</t>
  </si>
  <si>
    <t>0.0004073921145098</t>
  </si>
  <si>
    <t>2.649723222558408e-23</t>
  </si>
  <si>
    <t>1.5379334249702497e-23</t>
  </si>
  <si>
    <t>2.693087831244733e-23</t>
  </si>
  <si>
    <t>1.562957726229809e-23</t>
  </si>
  <si>
    <t>2.715702826353317e-23</t>
  </si>
  <si>
    <t>1.5760768374560286e-23</t>
  </si>
  <si>
    <t>2.668925296970827e-23</t>
  </si>
  <si>
    <t>1.5608078744377562e-23</t>
  </si>
  <si>
    <t>0.0007384789597202016</t>
  </si>
  <si>
    <t>0.0004317292971612156</t>
  </si>
  <si>
    <t>0.9995682707028387</t>
  </si>
  <si>
    <t>0.006506700387494785</t>
  </si>
  <si>
    <t>0.003790874677098683</t>
  </si>
  <si>
    <t>0.9962091253229013</t>
  </si>
  <si>
    <t>0.018156962792354583</t>
  </si>
  <si>
    <t>0.010509335082158958</t>
  </si>
  <si>
    <t>0.989490664917841</t>
  </si>
  <si>
    <t>0.07295436241217534</t>
  </si>
  <si>
    <t>0.04069877445134436</t>
  </si>
  <si>
    <t>0.9593012255486556</t>
  </si>
  <si>
    <t>P46</t>
  </si>
  <si>
    <t>Mass-spring oscillation period</t>
  </si>
  <si>
    <t>T = 2*pi*sqrt(m/k)</t>
  </si>
  <si>
    <t>k*T**2/(4*pi**2)</t>
  </si>
  <si>
    <t>k=[1, 10]</t>
  </si>
  <si>
    <t>0.02533033870181*T**2*k</t>
  </si>
  <si>
    <t>T**p0*(p1 + p2*(p3 + cos(T))*(p4 + sin(T**p0) + cos(T*p6 + p5))*cos(p7*exp(T*p0)))</t>
  </si>
  <si>
    <t>[2, 0.173086800000000, 0.000564335900000000, 0.970229700000000, 0.835864600000000, -203.585896006163, 1772.11677044478, 0.393898167977439]</t>
  </si>
  <si>
    <t>0.0067239189765773</t>
  </si>
  <si>
    <t>0.0067156472483664</t>
  </si>
  <si>
    <t>0.9961387389163524</t>
  </si>
  <si>
    <t>0.0015267593360539</t>
  </si>
  <si>
    <t>2.004762319423478e-23</t>
  </si>
  <si>
    <t>1.1733797887431529e-23</t>
  </si>
  <si>
    <t>2.0577319338119764e-23</t>
  </si>
  <si>
    <t>1.204730703890067e-23</t>
  </si>
  <si>
    <t>2.0810755355306425e-23</t>
  </si>
  <si>
    <t>1.2184242013575358e-23</t>
  </si>
  <si>
    <t>1.544737616265821e-23</t>
  </si>
  <si>
    <t>8.898528652468247e-24</t>
  </si>
  <si>
    <t>0.0007211883935833794</t>
  </si>
  <si>
    <t>0.00041598394819462035</t>
  </si>
  <si>
    <t>0.9995840160518052</t>
  </si>
  <si>
    <t>0.006718943241048646</t>
  </si>
  <si>
    <t>0.003860542699228053</t>
  </si>
  <si>
    <t>0.996139457300772</t>
  </si>
  <si>
    <t>0.01850237061974972</t>
  </si>
  <si>
    <t>0.01058051685658737</t>
  </si>
  <si>
    <t>0.9894194831434125</t>
  </si>
  <si>
    <t>0.07449407857925872</t>
  </si>
  <si>
    <t>0.04115318497487036</t>
  </si>
  <si>
    <t>0.9588468150251297</t>
  </si>
  <si>
    <t>P48</t>
  </si>
  <si>
    <t>Hydrostatic pressure</t>
  </si>
  <si>
    <t>P = P0 + rho*g*h</t>
  </si>
  <si>
    <t>(P-P0)/(rho*g)</t>
  </si>
  <si>
    <t>h</t>
  </si>
  <si>
    <t>P0=[1, 3]; rho=[1, 3]</t>
  </si>
  <si>
    <t>0.101936799184506*(P - P0)/rho</t>
  </si>
  <si>
    <t>P*(p1 + p2*exp(sin(P*(P*p3 + atan(P)) + P))) + p0</t>
  </si>
  <si>
    <t>[-0.0930907500000000, 0.0607527940000000, 0.000166454240000000, -1]</t>
  </si>
  <si>
    <t>0.0300115250158794</t>
  </si>
  <si>
    <t>0.029929977868741</t>
  </si>
  <si>
    <t>0.9964044271410172</t>
  </si>
  <si>
    <t>0.0003814462701376</t>
  </si>
  <si>
    <t>1.2148533478376314e-22</t>
  </si>
  <si>
    <t>1.4472734219195136e-23</t>
  </si>
  <si>
    <t>1.0814819036938391e-22</t>
  </si>
  <si>
    <t>1.2883114722699942e-23</t>
  </si>
  <si>
    <t>1.0118429567878862e-22</t>
  </si>
  <si>
    <t>1.2054155256659611e-23</t>
  </si>
  <si>
    <t>1.1392309535746042e-22</t>
  </si>
  <si>
    <t>1.3741816504599744e-23</t>
  </si>
  <si>
    <t>0.003261230856631748</t>
  </si>
  <si>
    <t>0.000393645004707553</t>
  </si>
  <si>
    <t>0.9996063549952925</t>
  </si>
  <si>
    <t>0.03030595223525183</t>
  </si>
  <si>
    <t>0.0036410033587478225</t>
  </si>
  <si>
    <t>0.9963589966412522</t>
  </si>
  <si>
    <t>0.08314923403261162</t>
  </si>
  <si>
    <t>0.00992434026189255</t>
  </si>
  <si>
    <t>0.9900756597381075</t>
  </si>
  <si>
    <t>0.3303598776369544</t>
  </si>
  <si>
    <t>0.03823946678996766</t>
  </si>
  <si>
    <t>0.9617605332100323</t>
  </si>
  <si>
    <t>P49</t>
  </si>
  <si>
    <t>Circular-orbit speed</t>
  </si>
  <si>
    <t>v = sqrt(G*M/r)</t>
  </si>
  <si>
    <t>G*M/v**2</t>
  </si>
  <si>
    <t>M=[1, 5]</t>
  </si>
  <si>
    <t>M/v**2</t>
  </si>
  <si>
    <t>(v**p0*(p1 + (p2*cos(p3*v**p2) + sin(v))*exp(p5*atan(v)**p2)*atan(cos(v)*cos(p4*v**p2)**p2)))**p6</t>
  </si>
  <si>
    <t>[-8.01038400000000, 322.937440000000, -1, 896.612500000000, 1101.67210000000, 1.24685450000000, 1/4]</t>
  </si>
  <si>
    <t>0.1147547530371229</t>
  </si>
  <si>
    <t>0.0347636941246996</t>
  </si>
  <si>
    <t>0.9769715817128805</t>
  </si>
  <si>
    <t>0.0001978207392726</t>
  </si>
  <si>
    <t>1.7301581940302647e-20</t>
  </si>
  <si>
    <t>3.529555589701761e-21</t>
  </si>
  <si>
    <t>1.1888995740724096e-20</t>
  </si>
  <si>
    <t>2.427813525475826e-21</t>
  </si>
  <si>
    <t>9.280976164158064e-21</t>
  </si>
  <si>
    <t>1.8901883398838938e-21</t>
  </si>
  <si>
    <t>1.4373843790097696e-20</t>
  </si>
  <si>
    <t>2.932293626172984e-21</t>
  </si>
  <si>
    <t>0.001480699291505517</t>
  </si>
  <si>
    <t>0.00029903064220563566</t>
  </si>
  <si>
    <t>0.9997009693577944</t>
  </si>
  <si>
    <t>0.013410251784525304</t>
  </si>
  <si>
    <t>0.002703883427502208</t>
  </si>
  <si>
    <t>0.9972961165724978</t>
  </si>
  <si>
    <t>0.037045322676282064</t>
  </si>
  <si>
    <t>0.0074142074424233045</t>
  </si>
  <si>
    <t>0.9925857925575767</t>
  </si>
  <si>
    <t>0.14569002043677415</t>
  </si>
  <si>
    <t>0.028565042505034288</t>
  </si>
  <si>
    <t>0.9714349574949657</t>
  </si>
  <si>
    <t>P50</t>
  </si>
  <si>
    <t>Hubble law</t>
  </si>
  <si>
    <t>v_rec = H0*d</t>
  </si>
  <si>
    <t>v_rec/H0</t>
  </si>
  <si>
    <t>v_rec</t>
  </si>
  <si>
    <t>H0=[0.5, 2]</t>
  </si>
  <si>
    <t>v_rec*(p0 + p1*p2**v_rec*cos(exp(v_rec)))</t>
  </si>
  <si>
    <t>[1.21052680000000, 1.75296120000000e-7, 3.79599200000000]</t>
  </si>
  <si>
    <t>0.0330398433594206</t>
  </si>
  <si>
    <t>0.0330083983019068</t>
  </si>
  <si>
    <t>0.9951222370032132</t>
  </si>
  <si>
    <t>0.0002498729054244</t>
  </si>
  <si>
    <t>8.120281770355699e-23</t>
  </si>
  <si>
    <t>1.1937096992929584e-23</t>
  </si>
  <si>
    <t>9.945530244970607e-23</t>
  </si>
  <si>
    <t>1.4646771366371027e-23</t>
  </si>
  <si>
    <t>1.335809624562301e-22</t>
  </si>
  <si>
    <t>1.9665065058002903e-23</t>
  </si>
  <si>
    <t>1.3700432872246378e-22</t>
  </si>
  <si>
    <t>2.0347239014330525e-23</t>
  </si>
  <si>
    <t>0.003691024393621567</t>
  </si>
  <si>
    <t>0.0005462074848883819</t>
  </si>
  <si>
    <t>0.9994537925151117</t>
  </si>
  <si>
    <t>0.032946929015009147</t>
  </si>
  <si>
    <t>0.004859785601005646</t>
  </si>
  <si>
    <t>0.9951402143989944</t>
  </si>
  <si>
    <t>0.09354265131588876</t>
  </si>
  <si>
    <t>0.013666236868400617</t>
  </si>
  <si>
    <t>0.9863337631315994</t>
  </si>
  <si>
    <t>0.36727036547550423</t>
  </si>
  <si>
    <t>0.05156884141823634</t>
  </si>
  <si>
    <t>0.9484311585817636</t>
  </si>
  <si>
    <t>P51</t>
  </si>
  <si>
    <t>Axial magnetic dipole field</t>
  </si>
  <si>
    <t>B = mu0*m_dip/(2*pi*r**3)</t>
  </si>
  <si>
    <t>(mu0*m_dip/(2*pi*B))**(1/3)</t>
  </si>
  <si>
    <t>m_dip=[1, 4]</t>
  </si>
  <si>
    <t>mu0=1; pi=3.14159</t>
  </si>
  <si>
    <t>0.341392127748206*2**(2/3)*(m_dip/B)**(1/3)</t>
  </si>
  <si>
    <t>B**p0*(p1 + p2*sin(B**p4*p3*atan(B)**p5))</t>
  </si>
  <si>
    <t>[-0.332672500000000, 0.777932400000000, -0.00314332100000000, 0.00314332060000000, -2, -1]</t>
  </si>
  <si>
    <t>0.0024043887422222</t>
  </si>
  <si>
    <t>0.0023990109363907</t>
  </si>
  <si>
    <t>0.995149416589728</t>
  </si>
  <si>
    <t>0.0002503489301449</t>
  </si>
  <si>
    <t>8.817305589212493e-24</t>
  </si>
  <si>
    <t>1.791343568531876e-23</t>
  </si>
  <si>
    <t>8.88443133482434e-24</t>
  </si>
  <si>
    <t>1.8053894696755585e-23</t>
  </si>
  <si>
    <t>8.880388299792878e-24</t>
  </si>
  <si>
    <t>1.8034342344060892e-23</t>
  </si>
  <si>
    <t>8.901211753403833e-24</t>
  </si>
  <si>
    <t>1.840069289681382e-23</t>
  </si>
  <si>
    <t>0.00027236581114376993</t>
  </si>
  <si>
    <t>0.0005621622705275894</t>
  </si>
  <si>
    <t>0.9994378377294724</t>
  </si>
  <si>
    <t>0.0024161994819342034</t>
  </si>
  <si>
    <t>0.004972739024385843</t>
  </si>
  <si>
    <t>0.9950272609756141</t>
  </si>
  <si>
    <t>0.006682837571844914</t>
  </si>
  <si>
    <t>0.01364044794060981</t>
  </si>
  <si>
    <t>0.9863595520593902</t>
  </si>
  <si>
    <t>0.026697604329887492</t>
  </si>
  <si>
    <t>0.05220282506824277</t>
  </si>
  <si>
    <t>0.9477971749317573</t>
  </si>
  <si>
    <t>P52</t>
  </si>
  <si>
    <t>Exponential attenuation</t>
  </si>
  <si>
    <t>I = I0*exp(-mu*x)</t>
  </si>
  <si>
    <t>log(I0/I)/mu</t>
  </si>
  <si>
    <t>I</t>
  </si>
  <si>
    <t>I0=[8, 12]; mu=[0.1, 0.5]</t>
  </si>
  <si>
    <t>p0 + p1*log(I**p3 + p2)</t>
  </si>
  <si>
    <t>[6.36329200000000, -1.42668780000000, 0.00109830040000000, 2]</t>
  </si>
  <si>
    <t>5.352232287156747</t>
  </si>
  <si>
    <t>5.204265092487047</t>
  </si>
  <si>
    <t>3.5272522719529184e-05</t>
  </si>
  <si>
    <t>1.6729794566570783e-23</t>
  </si>
  <si>
    <t>3.063199425655703e-24</t>
  </si>
  <si>
    <t>7.916197587367937e-24</t>
  </si>
  <si>
    <t>2.8873194760307997e-24</t>
  </si>
  <si>
    <t>6.245126781765551e-24</t>
  </si>
  <si>
    <t>3.366007670274243e-24</t>
  </si>
  <si>
    <t>2.2965502299741394e-23</t>
  </si>
  <si>
    <t>3.9416219493268474e-24</t>
  </si>
  <si>
    <t>0.0014519091357887782</t>
  </si>
  <si>
    <t>0.0002512651395625993</t>
  </si>
  <si>
    <t>0.9997487348604375</t>
  </si>
  <si>
    <t>0.013238966032571927</t>
  </si>
  <si>
    <t>0.002296299687022733</t>
  </si>
  <si>
    <t>0.9977037003129772</t>
  </si>
  <si>
    <t>0.03625474466151109</t>
  </si>
  <si>
    <t>0.006251751643490137</t>
  </si>
  <si>
    <t>0.9937482483565099</t>
  </si>
  <si>
    <t>0.14175386722278155</t>
  </si>
  <si>
    <t>0.02389420620628683</t>
  </si>
  <si>
    <t>0.9761057937937132</t>
  </si>
  <si>
    <t>P53</t>
  </si>
  <si>
    <t>Linear thermal expansion</t>
  </si>
  <si>
    <t>L = L0*(1+alpha*(T-T0))</t>
  </si>
  <si>
    <t>T0 + (L/L0 - 1)/alpha</t>
  </si>
  <si>
    <t>L0=[0.5, 2]; alpha=[1.00000e-05, 3.00000e-05]</t>
  </si>
  <si>
    <t>T0=293.15</t>
  </si>
  <si>
    <t>293.15 + (L/L0 - 1)/alpha</t>
  </si>
  <si>
    <t>p0 + p1 + p2*cos(p3*(L**p5*p4)**L) + p6*((L**p5)**L)**L</t>
  </si>
  <si>
    <t>[0.0565978300000000, -17217.7730000000, -1, 1.57076900000000, 42852.1700000000, 2, 15987.4830000000]</t>
  </si>
  <si>
    <t>93.15383061562228</t>
  </si>
  <si>
    <t>93.08600980832868</t>
  </si>
  <si>
    <t>0.8505168110462389</t>
  </si>
  <si>
    <t>2.039571015138431e-06</t>
  </si>
  <si>
    <t>0.001787394105073215</t>
  </si>
  <si>
    <t>3.332356979051889e-06</t>
  </si>
  <si>
    <t>0.999996667643021</t>
  </si>
  <si>
    <t>1e+100</t>
  </si>
  <si>
    <t>0.0034213521051508163</t>
  </si>
  <si>
    <t>6.340580605741359e-06</t>
  </si>
  <si>
    <t>0.9999936594193942</t>
  </si>
  <si>
    <t>10.357674505206116</t>
  </si>
  <si>
    <t>0.019005152188673206</t>
  </si>
  <si>
    <t>0.9809948478113268</t>
  </si>
  <si>
    <t>93.18567627219325</t>
  </si>
  <si>
    <t>0.14850349204157032</t>
  </si>
  <si>
    <t>0.8514965079584296</t>
  </si>
  <si>
    <t>257.54911533084095</t>
  </si>
  <si>
    <t>0.3236808642497372</t>
  </si>
  <si>
    <t>0.6763191357502627</t>
  </si>
  <si>
    <t>1031.8776620119652</t>
  </si>
  <si>
    <t>0.6589045237145804</t>
  </si>
  <si>
    <t>0.3410954762854196</t>
  </si>
  <si>
    <t>P54</t>
  </si>
  <si>
    <t>Simple harmonic oscillator</t>
  </si>
  <si>
    <t>x = A*cos(omega*t + phi)</t>
  </si>
  <si>
    <t>(acos(x/A) - phi)/omega</t>
  </si>
  <si>
    <t>A=[2, 4]; omega=[0.6, 1.2]; phi=[0.1, 0.4]</t>
  </si>
  <si>
    <t>(-phi + acos(x/A))/omega</t>
  </si>
  <si>
    <t>p0 + p1*sin(p2 + p3*x) + p4*x + acos(p5 + p6*x)</t>
  </si>
  <si>
    <t>[-0.0808363235235374, 0.00159425751876992, -0.777233998264511, 6.21549120436516, -0.0492773713440918, 0.00788326321280003, 0.314401085551726]</t>
  </si>
  <si>
    <t>0.0014849973780176</t>
  </si>
  <si>
    <t>0.0014814563697691</t>
  </si>
  <si>
    <t>0.9937769141795416</t>
  </si>
  <si>
    <t>0.0001697940205607</t>
  </si>
  <si>
    <t>1.9843230510266146e-07</t>
  </si>
  <si>
    <t>8.30197461700714e-07</t>
  </si>
  <si>
    <t>0.9999991698025383</t>
  </si>
  <si>
    <t>2.8899316768661426e-06</t>
  </si>
  <si>
    <t>1.4781676745456879e-05</t>
  </si>
  <si>
    <t>0.9999852183232545</t>
  </si>
  <si>
    <t>1.2699139444996875e-05</t>
  </si>
  <si>
    <t>7.844018090055231e-05</t>
  </si>
  <si>
    <t>0.9999215598190995</t>
  </si>
  <si>
    <t>1.2145880881203232e-07</t>
  </si>
  <si>
    <t>5.122745473765798e-07</t>
  </si>
  <si>
    <t>0.9999994877254526</t>
  </si>
  <si>
    <t>0.00016384608400873306</t>
  </si>
  <si>
    <t>0.0006948909881129802</t>
  </si>
  <si>
    <t>0.999305109011887</t>
  </si>
  <si>
    <t>0.0014598734522687194</t>
  </si>
  <si>
    <t>0.006152979913103677</t>
  </si>
  <si>
    <t>0.9938470200868963</t>
  </si>
  <si>
    <t>0.004111196684491509</t>
  </si>
  <si>
    <t>0.017180259568308563</t>
  </si>
  <si>
    <t>0.9828197404316914</t>
  </si>
  <si>
    <t>0.01614084937107077</t>
  </si>
  <si>
    <t>0.06414320905093199</t>
  </si>
  <si>
    <t>0.935856790949068</t>
  </si>
  <si>
    <t>P55</t>
  </si>
  <si>
    <t>Malus law with angular offset</t>
  </si>
  <si>
    <t>I = I0*cos(theta-theta0)**2</t>
  </si>
  <si>
    <t>theta0 + acos(sqrt(I/I0))</t>
  </si>
  <si>
    <t>theta</t>
  </si>
  <si>
    <t>I0=[5, 10]; theta0=[0, 0.4]</t>
  </si>
  <si>
    <t>p0 + acos(I**p1*(p2 + I*p3*(p4 + I*p5)**p5*atan(p6 + I*p7 + I*pi/2)**p5))</t>
  </si>
  <si>
    <t>[0.108684070000000, 1/2, 0.393228560000000, -1.72220507205152e-5, 0.994079650000000, -1, -0.663566755664455, 1.33503740000000]</t>
  </si>
  <si>
    <t>0.0603742680064617</t>
  </si>
  <si>
    <t>0.0603538819007124</t>
  </si>
  <si>
    <t>6.008842475732594e-05</t>
  </si>
  <si>
    <t>0.00590928541663409</t>
  </si>
  <si>
    <t>0.11815216282570526</t>
  </si>
  <si>
    <t>0.8818478371742948</t>
  </si>
  <si>
    <t>0.3173339694668476</t>
  </si>
  <si>
    <t>8.42421414203492</t>
  </si>
  <si>
    <t>0.010565236482328858</t>
  </si>
  <si>
    <t>0.1809662562147707</t>
  </si>
  <si>
    <t>0.8190337437852293</t>
  </si>
  <si>
    <t>0.1784610536567775</t>
  </si>
  <si>
    <t>3.0915329845838073</t>
  </si>
  <si>
    <t>0.012155218535450693</t>
  </si>
  <si>
    <t>0.20539010573278085</t>
  </si>
  <si>
    <t>0.7946098942672191</t>
  </si>
  <si>
    <t>0.01211411017597487</t>
  </si>
  <si>
    <t>0.19969404837005664</t>
  </si>
  <si>
    <t>0.8003059516299433</t>
  </si>
  <si>
    <t>0.13172652296752185</t>
  </si>
  <si>
    <t>1.9227025957189214</t>
  </si>
  <si>
    <t>P56</t>
  </si>
  <si>
    <t>Spatial sinusoidal wave</t>
  </si>
  <si>
    <t>y = A*cos(k*x + phi)</t>
  </si>
  <si>
    <t>(acos(y/A) - phi)/k</t>
  </si>
  <si>
    <t>y</t>
  </si>
  <si>
    <t>A=[2, 4]; k=[0.6, 1]; phi=[0.1, 0.3]</t>
  </si>
  <si>
    <t>(-phi + acos(y/A))/k</t>
  </si>
  <si>
    <t>p0 + p1*atanh(p2 + Mod(p3 + p4*y, p5)) + p14*y + p6*(p7 + (p8 + p9*y**p2*exp(y))**p5)**p10 + p6*cos(p11 + atan(p12 + p13*y))</t>
  </si>
  <si>
    <t>[1.49346021880710, 0.786343500000000, -1, 1.00000000000000, -0.339537100000000, 2, -0.0790365332465100, 1, 380.935064603134, 1774.90889392647, -1/2, -0.0269003080000000, 1067.19048059755, 713.008308971028, -0.158073066493020]</t>
  </si>
  <si>
    <t>[p0, p1, p2, p3, p4, p5, p6, p7, p8, p9, p10, p11, p12, p13, p14]</t>
  </si>
  <si>
    <t>3.135295155387869</t>
  </si>
  <si>
    <t>2.036677937079082</t>
  </si>
  <si>
    <t>0.0002291489283414</t>
  </si>
  <si>
    <t>0.0004727480773879592</t>
  </si>
  <si>
    <t>0.0012702926233599799</t>
  </si>
  <si>
    <t>0.99872970737664</t>
  </si>
  <si>
    <t>0.0012184180433543947</t>
  </si>
  <si>
    <t>0.0037763933523965202</t>
  </si>
  <si>
    <t>0.9962236066476036</t>
  </si>
  <si>
    <t>0.0012625077013231484</t>
  </si>
  <si>
    <t>0.005682680494414676</t>
  </si>
  <si>
    <t>0.9943173195055853</t>
  </si>
  <si>
    <t>0.0008768100408273638</t>
  </si>
  <si>
    <t>0.0023607408229337915</t>
  </si>
  <si>
    <t>0.9976392591770662</t>
  </si>
  <si>
    <t>0.0010076480317597778</t>
  </si>
  <si>
    <t>0.002715730203019023</t>
  </si>
  <si>
    <t>0.997284269796981</t>
  </si>
  <si>
    <t>0.0032016186953801916</t>
  </si>
  <si>
    <t>0.008613178245816724</t>
  </si>
  <si>
    <t>0.9913868217541832</t>
  </si>
  <si>
    <t>0.007154268542595654</t>
  </si>
  <si>
    <t>0.019008679648939264</t>
  </si>
  <si>
    <t>0.9809913203510607</t>
  </si>
  <si>
    <t>0.02550630852632731</t>
  </si>
  <si>
    <t>0.06474737824101234</t>
  </si>
  <si>
    <t>0.9352526217589876</t>
  </si>
  <si>
    <t>P57</t>
  </si>
  <si>
    <t>Damped harmonic oscillator</t>
  </si>
  <si>
    <t>x = A*exp(-gamma*t)*cos(omega_d*t + phi)</t>
  </si>
  <si>
    <t>gamma</t>
  </si>
  <si>
    <t>x, t</t>
  </si>
  <si>
    <t>A=[2, 4]; omega_d=[0.4, 0.8]; phi=[0.1, 0.2]</t>
  </si>
  <si>
    <t>p0 + (t*x + (p1 + t**p2 + x**p3)**p4*sin(t))**p4*sin(p5 + t**p6 + x)</t>
  </si>
  <si>
    <t>[0.0844574200000000, 0.998231050000000, 1/2, 2, -1, -0.127660200000000, 1.39340440000000]</t>
  </si>
  <si>
    <t>8.678062690200709e-05</t>
  </si>
  <si>
    <t>8.675745913092116e-05</t>
  </si>
  <si>
    <t>0.9934818929278986</t>
  </si>
  <si>
    <t>8.6183325e-05</t>
  </si>
  <si>
    <t>0.0003969237677457</t>
  </si>
  <si>
    <t>0.000603837062077872</t>
  </si>
  <si>
    <t>0.0026877430365976184</t>
  </si>
  <si>
    <t>0.9973122569634023</t>
  </si>
  <si>
    <t>0.050183448592420306</t>
  </si>
  <si>
    <t>0.029883610605258046</t>
  </si>
  <si>
    <t>0.970116389394742</t>
  </si>
  <si>
    <t>0.09560487563340404</t>
  </si>
  <si>
    <t>0.044076259214282446</t>
  </si>
  <si>
    <t>0.9559237407857175</t>
  </si>
  <si>
    <t>9.228132043386483e-07</t>
  </si>
  <si>
    <t>7.007241191334565e-05</t>
  </si>
  <si>
    <t>0.9999299275880866</t>
  </si>
  <si>
    <t>1.0529222560634981e-05</t>
  </si>
  <si>
    <t>0.000799196515262585</t>
  </si>
  <si>
    <t>0.9992008034847375</t>
  </si>
  <si>
    <t>8.72337949789599e-05</t>
  </si>
  <si>
    <t>0.006576966867636003</t>
  </si>
  <si>
    <t>0.9934230331323639</t>
  </si>
  <si>
    <t>0.00023941834264616985</t>
  </si>
  <si>
    <t>0.017853576876193336</t>
  </si>
  <si>
    <t>0.9821464231238066</t>
  </si>
  <si>
    <t>0.0009581405279934965</t>
  </si>
  <si>
    <t>0.06774027156452342</t>
  </si>
  <si>
    <t>0.9322597284354766</t>
  </si>
  <si>
    <t>P58</t>
  </si>
  <si>
    <t>van der Waals isotherm family</t>
  </si>
  <si>
    <t>P = Rgas*T_par/(V_m-b) - a/V_m**2</t>
  </si>
  <si>
    <t>V_m - Rgas*T_par/(P + a/V_m**2)</t>
  </si>
  <si>
    <t>b</t>
  </si>
  <si>
    <t>P, V_m</t>
  </si>
  <si>
    <t>T_par=[1, 3]; a=[0.5, 2]</t>
  </si>
  <si>
    <t>Rgas=1</t>
  </si>
  <si>
    <t>-T_par/(P + a/V_m**2) + V_m</t>
  </si>
  <si>
    <t>V_m**p2*p1 + p0 + (P + V_m**p2*(P + p4)*log(P*V_m + p3)**p2)**p2*(P*V_m + p5)</t>
  </si>
  <si>
    <t>[0.405594400000000, -0.121862242510378, -1, 0.492568300000000, -0.0446170300000000, -2.28638480000000]</t>
  </si>
  <si>
    <t>0.0002803201434826</t>
  </si>
  <si>
    <t>0.0002801771270802</t>
  </si>
  <si>
    <t>0.9905918829451592</t>
  </si>
  <si>
    <t>0.0024812833869966</t>
  </si>
  <si>
    <t>0.00014423149648132885</t>
  </si>
  <si>
    <t>8.186009330410189e-05</t>
  </si>
  <si>
    <t>0.9999181399066959</t>
  </si>
  <si>
    <t>0.0001898910348729613</t>
  </si>
  <si>
    <t>0.00010898581616164588</t>
  </si>
  <si>
    <t>0.9998910141838383</t>
  </si>
  <si>
    <t>0.0002180527346803329</t>
  </si>
  <si>
    <t>0.00012591731776376747</t>
  </si>
  <si>
    <t>0.9998740826822362</t>
  </si>
  <si>
    <t>1.9074353432237985e-06</t>
  </si>
  <si>
    <t>6.369976544134449e-05</t>
  </si>
  <si>
    <t>0.9999363002345587</t>
  </si>
  <si>
    <t>3.2291070827365504e-05</t>
  </si>
  <si>
    <t>0.0010808955838973178</t>
  </si>
  <si>
    <t>0.9989191044161028</t>
  </si>
  <si>
    <t>0.00028041309919632707</t>
  </si>
  <si>
    <t>0.009297599076192018</t>
  </si>
  <si>
    <t>0.9907024009238079</t>
  </si>
  <si>
    <t>0.0007578186239140878</t>
  </si>
  <si>
    <t>0.024689439092889218</t>
  </si>
  <si>
    <t>0.9753105609071108</t>
  </si>
  <si>
    <t>0.003075711593652394</t>
  </si>
  <si>
    <t>0.09318942827986379</t>
  </si>
  <si>
    <t>0.9068105717201362</t>
  </si>
  <si>
    <t>P59</t>
  </si>
  <si>
    <t>Einstein solid heat capacity</t>
  </si>
  <si>
    <t>C = 3*N*kb*(theta_E/T)**2*exp(theta_E/T)/(exp(theta_E/T)-1)**2</t>
  </si>
  <si>
    <t>C*(exp(theta_E/T)-1)**2/(3*kb*(theta_E/T)**2*exp(theta_E/T))</t>
  </si>
  <si>
    <t>N</t>
  </si>
  <si>
    <t>C, T</t>
  </si>
  <si>
    <t>theta_E=[2, 6]</t>
  </si>
  <si>
    <t>C*T**2*(exp(theta_E/T) - 1)**2*exp(-theta_E/T)/(3*theta_E**2)</t>
  </si>
  <si>
    <t>(C + p5*(p4*sin(C) + p6)**p4)*(p0 + p1*atan((T + p2)*(T + p3))**p4)</t>
  </si>
  <si>
    <t>[-0.953038900000000, 2.02087860000000, 0.710760350000000, -0.604417740000000, -1, -0.0750968460000000, 3.77742860000000]</t>
  </si>
  <si>
    <t>0.0335326371265622</t>
  </si>
  <si>
    <t>0.0335052643601589</t>
  </si>
  <si>
    <t>0.995085707055293</t>
  </si>
  <si>
    <t>0.0002329815188609</t>
  </si>
  <si>
    <t>9.890304173686701e-06</t>
  </si>
  <si>
    <t>3.409583638021172e-07</t>
  </si>
  <si>
    <t>0.9999996590416362</t>
  </si>
  <si>
    <t>1.022419626327583e-05</t>
  </si>
  <si>
    <t>3.3181747014913857e-07</t>
  </si>
  <si>
    <t>0.9999996681825298</t>
  </si>
  <si>
    <t>1.0168872839209028e-05</t>
  </si>
  <si>
    <t>3.2361921903649167e-07</t>
  </si>
  <si>
    <t>0.9999996763807809</t>
  </si>
  <si>
    <t>2.2640451436321706e-06</t>
  </si>
  <si>
    <t>3.3622298186005755e-07</t>
  </si>
  <si>
    <t>0.9999996637770181</t>
  </si>
  <si>
    <t>0.0036805503622653352</t>
  </si>
  <si>
    <t>0.0005451044869697828</t>
  </si>
  <si>
    <t>0.9994548955130302</t>
  </si>
  <si>
    <t>0.03290757107986421</t>
  </si>
  <si>
    <t>0.004851404442340199</t>
  </si>
  <si>
    <t>0.9951485955576598</t>
  </si>
  <si>
    <t>0.0910751706459625</t>
  </si>
  <si>
    <t>0.013332078476998795</t>
  </si>
  <si>
    <t>0.9866679215230012</t>
  </si>
  <si>
    <t>0.37209507539668185</t>
  </si>
  <si>
    <t>0.05228106339405074</t>
  </si>
  <si>
    <t>0.9477189366059493</t>
  </si>
  <si>
    <t>缺少</t>
  </si>
  <si>
    <t>10(没ev）,32,38,43,47（没ev)</t>
  </si>
  <si>
    <t>低于0</t>
  </si>
  <si>
    <t>1,08,12,24,52,55,56</t>
  </si>
  <si>
    <t>低于0.9高于0的</t>
  </si>
  <si>
    <t>27，42，53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</si>
</sst>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0"/>
      <color rgb="FFFFFFFF"/>
      <name val="Noto Sans CJK SC"/>
      <charset val="134"/>
    </font>
    <font>
      <sz val="10"/>
      <color rgb="FF21374E"/>
      <name val="Noto Sans CJK SC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324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1" fillId="0" borderId="0"/>
  </cellStyleXfs>
  <cellXfs count="6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vertical="top" wrapText="1"/>
    </xf>
    <xf numFmtId="1" fontId="3" fillId="0" borderId="0" xfId="49" applyNumberFormat="1" applyFont="1" applyFill="1" applyBorder="1" applyAlignment="1">
      <alignment vertical="top" wrapText="1"/>
    </xf>
    <xf numFmtId="0" fontId="3" fillId="0" borderId="0" xfId="49" applyNumberFormat="1" applyFont="1" applyFill="1" applyBorder="1" applyAlignment="1">
      <alignment vertical="top" wrapText="1"/>
    </xf>
    <xf numFmtId="11" fontId="0" fillId="0" borderId="0" xfId="0" applyNumberFormat="1">
      <alignment vertical="center"/>
    </xf>
    <xf numFmtId="0" fontId="0" fillId="0" borderId="0" xfId="0" quotePrefix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22">
    <dxf>
      <fill>
        <patternFill patternType="solid">
          <bgColor rgb="FFDCF0E5"/>
        </patternFill>
      </fill>
    </dxf>
    <dxf>
      <fill>
        <patternFill patternType="solid">
          <bgColor rgb="FFE3F1F4"/>
        </patternFill>
      </fill>
    </dxf>
    <dxf>
      <fill>
        <patternFill patternType="solid">
          <bgColor rgb="FFFFF0D1"/>
        </patternFill>
      </fill>
    </dxf>
    <dxf>
      <fill>
        <patternFill patternType="solid">
          <bgColor rgb="FFFFE5D5"/>
        </patternFill>
      </fill>
    </dxf>
    <dxf>
      <fill>
        <patternFill patternType="solid">
          <bgColor rgb="FFF8DDDF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physics_formula_similarity_new54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分析摘要"/>
      <sheetName val="逐行分析"/>
      <sheetName val="评分标准"/>
      <sheetName val="原始数据_仅存档"/>
    </sheetNames>
    <sheetDataSet>
      <sheetData sheetId="0"/>
      <sheetData sheetId="1"/>
      <sheetData sheetId="2">
        <row r="5">
          <cell r="A5" t="str">
            <v>高度相似</v>
          </cell>
          <cell r="B5">
            <v>95</v>
          </cell>
        </row>
        <row r="6">
          <cell r="A6" t="str">
            <v>较高相似</v>
          </cell>
          <cell r="B6">
            <v>80</v>
          </cell>
        </row>
        <row r="7">
          <cell r="A7" t="str">
            <v>中等相似</v>
          </cell>
          <cell r="B7">
            <v>60</v>
          </cell>
        </row>
        <row r="8">
          <cell r="A8" t="str">
            <v>较低相似</v>
          </cell>
          <cell r="B8">
            <v>40</v>
          </cell>
        </row>
        <row r="9">
          <cell r="A9" t="str">
            <v>不相似</v>
          </cell>
        </row>
      </sheetData>
      <sheetData sheetId="3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59"/>
  <sheetViews>
    <sheetView tabSelected="1" zoomScale="85" zoomScaleNormal="85" zoomScaleSheetLayoutView="60" workbookViewId="0">
      <selection activeCell="X66" sqref="X66"/>
    </sheetView>
  </sheetViews>
  <sheetFormatPr defaultColWidth="9" defaultRowHeight="14.25"/>
  <cols>
    <col min="2" max="2" width="14.85" customWidth="1"/>
    <col min="3" max="3" width="40.3" customWidth="1"/>
    <col min="4" max="4" width="21.625" customWidth="1"/>
    <col min="5" max="5" width="45.5" customWidth="1"/>
    <col min="6" max="14" width="9" customWidth="1"/>
    <col min="15" max="15" width="24.75" customWidth="1"/>
    <col min="16" max="16" width="28.2333333333333" customWidth="1"/>
    <col min="17" max="17" width="9" customWidth="1"/>
    <col min="18" max="18" width="13.3833333333333" customWidth="1"/>
    <col min="19" max="19" width="9" customWidth="1"/>
    <col min="20" max="20" width="5.58333333333333" customWidth="1"/>
    <col min="21" max="21" width="22.4916666666667" style="1" customWidth="1"/>
    <col min="22" max="22" width="24" style="1" customWidth="1"/>
    <col min="23" max="25" width="11.1666666666667" customWidth="1"/>
    <col min="26" max="27" width="11.1666666666667" hidden="1" customWidth="1"/>
    <col min="28" max="28" width="11.1666666666667" customWidth="1"/>
    <col min="29" max="30" width="11.1666666666667" hidden="1" customWidth="1"/>
    <col min="31" max="31" width="11.1666666666667" customWidth="1"/>
    <col min="32" max="33" width="11.1666666666667" hidden="1" customWidth="1"/>
    <col min="34" max="34" width="11.1666666666667" customWidth="1"/>
    <col min="35" max="36" width="11.1666666666667" hidden="1" customWidth="1"/>
    <col min="37" max="37" width="11.1666666666667" customWidth="1"/>
    <col min="38" max="39" width="11.1666666666667" hidden="1" customWidth="1"/>
    <col min="40" max="40" width="11.1666666666667" customWidth="1"/>
    <col min="41" max="42" width="11.1666666666667" hidden="1" customWidth="1"/>
    <col min="43" max="43" width="11.1666666666667" customWidth="1"/>
    <col min="44" max="45" width="11.1666666666667" hidden="1" customWidth="1"/>
    <col min="46" max="47" width="11.1666666666667" customWidth="1"/>
  </cols>
  <sheetData>
    <row r="1" ht="13.5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2" t="s">
        <v>20</v>
      </c>
      <c r="V1" s="2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ht="13.5" spans="1:46">
      <c r="A2" t="s">
        <v>46</v>
      </c>
      <c r="B2">
        <v>1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57</v>
      </c>
      <c r="N2" s="6" t="s">
        <v>58</v>
      </c>
      <c r="O2" s="6" t="s">
        <v>59</v>
      </c>
      <c r="P2">
        <v>-17.3395485686318</v>
      </c>
      <c r="Q2">
        <v>17</v>
      </c>
      <c r="R2">
        <v>0.0022076496</v>
      </c>
      <c r="S2" s="6" t="s">
        <v>60</v>
      </c>
      <c r="T2">
        <v>4</v>
      </c>
      <c r="U2" s="3">
        <v>25</v>
      </c>
      <c r="V2" s="4" t="str">
        <f>IF(U2&gt;=[1]评分标准!$B$5,[1]评分标准!$A$5,IF(U2&gt;=[1]评分标准!$B$6,[1]评分标准!$A$6,IF(U2&gt;=[1]评分标准!$B$7,[1]评分标准!$A$7,IF(U2&gt;=[1]评分标准!$B$8,[1]评分标准!$A$8,[1]评分标准!$A$9))))</f>
        <v>不相似</v>
      </c>
      <c r="W2" s="6" t="s">
        <v>61</v>
      </c>
      <c r="X2" s="6" t="s">
        <v>62</v>
      </c>
      <c r="Y2">
        <v>-0.809325133640707</v>
      </c>
      <c r="Z2" s="6" t="s">
        <v>63</v>
      </c>
      <c r="AA2" s="6" t="s">
        <v>64</v>
      </c>
      <c r="AB2" s="6" t="s">
        <v>65</v>
      </c>
      <c r="AC2" s="6" t="s">
        <v>66</v>
      </c>
      <c r="AD2" s="6" t="s">
        <v>67</v>
      </c>
      <c r="AE2" s="6" t="s">
        <v>68</v>
      </c>
      <c r="AF2" s="6" t="s">
        <v>69</v>
      </c>
      <c r="AG2" s="6" t="s">
        <v>70</v>
      </c>
      <c r="AH2" s="6" t="s">
        <v>71</v>
      </c>
      <c r="AI2" s="6" t="s">
        <v>72</v>
      </c>
      <c r="AJ2" s="6" t="s">
        <v>73</v>
      </c>
      <c r="AK2" s="6" t="s">
        <v>74</v>
      </c>
      <c r="AL2" s="6" t="s">
        <v>75</v>
      </c>
      <c r="AM2" s="6" t="s">
        <v>76</v>
      </c>
      <c r="AN2" s="6" t="s">
        <v>77</v>
      </c>
      <c r="AO2" s="6" t="s">
        <v>78</v>
      </c>
      <c r="AP2" s="6" t="s">
        <v>79</v>
      </c>
      <c r="AQ2" s="6" t="s">
        <v>80</v>
      </c>
      <c r="AR2" s="6" t="s">
        <v>81</v>
      </c>
      <c r="AS2" s="6" t="s">
        <v>82</v>
      </c>
      <c r="AT2" s="6" t="s">
        <v>83</v>
      </c>
    </row>
    <row r="3" ht="13.5" spans="1:46">
      <c r="A3" t="s">
        <v>84</v>
      </c>
      <c r="B3">
        <v>1</v>
      </c>
      <c r="C3" t="s">
        <v>85</v>
      </c>
      <c r="D3" t="s">
        <v>86</v>
      </c>
      <c r="E3" t="s">
        <v>87</v>
      </c>
      <c r="F3" t="s">
        <v>51</v>
      </c>
      <c r="G3" t="s">
        <v>88</v>
      </c>
      <c r="H3" t="s">
        <v>89</v>
      </c>
      <c r="I3" t="s">
        <v>90</v>
      </c>
      <c r="J3" t="s">
        <v>91</v>
      </c>
      <c r="K3" t="s">
        <v>92</v>
      </c>
      <c r="L3" t="s">
        <v>93</v>
      </c>
      <c r="M3" t="s">
        <v>94</v>
      </c>
      <c r="N3" s="6" t="s">
        <v>95</v>
      </c>
      <c r="O3" s="6" t="s">
        <v>96</v>
      </c>
      <c r="P3" s="6" t="s">
        <v>97</v>
      </c>
      <c r="Q3">
        <v>20</v>
      </c>
      <c r="R3">
        <v>0.0005280015</v>
      </c>
      <c r="S3" s="6" t="s">
        <v>98</v>
      </c>
      <c r="T3">
        <v>5</v>
      </c>
      <c r="U3" s="3">
        <v>98</v>
      </c>
      <c r="V3" s="4" t="str">
        <f>IF(U3&gt;=[1]评分标准!$B$5,[1]评分标准!$A$5,IF(U3&gt;=[1]评分标准!$B$6,[1]评分标准!$A$6,IF(U3&gt;=[1]评分标准!$B$7,[1]评分标准!$A$7,IF(U3&gt;=[1]评分标准!$B$8,[1]评分标准!$A$8,[1]评分标准!$A$9))))</f>
        <v>高度相似</v>
      </c>
      <c r="W3" s="6" t="s">
        <v>99</v>
      </c>
      <c r="X3" s="6" t="s">
        <v>100</v>
      </c>
      <c r="Y3">
        <v>1</v>
      </c>
      <c r="Z3" s="6" t="s">
        <v>101</v>
      </c>
      <c r="AA3" s="6" t="s">
        <v>102</v>
      </c>
      <c r="AB3">
        <v>1</v>
      </c>
      <c r="AC3" s="6" t="s">
        <v>103</v>
      </c>
      <c r="AD3" s="6" t="s">
        <v>104</v>
      </c>
      <c r="AE3">
        <v>1</v>
      </c>
      <c r="AF3" s="6" t="s">
        <v>105</v>
      </c>
      <c r="AG3" s="6" t="s">
        <v>106</v>
      </c>
      <c r="AH3">
        <v>1</v>
      </c>
      <c r="AI3" s="6" t="s">
        <v>107</v>
      </c>
      <c r="AJ3" s="6" t="s">
        <v>108</v>
      </c>
      <c r="AK3" s="6" t="s">
        <v>109</v>
      </c>
      <c r="AL3" s="6" t="s">
        <v>110</v>
      </c>
      <c r="AM3" s="6" t="s">
        <v>111</v>
      </c>
      <c r="AN3" s="6" t="s">
        <v>112</v>
      </c>
      <c r="AO3" s="6" t="s">
        <v>113</v>
      </c>
      <c r="AP3" s="6" t="s">
        <v>114</v>
      </c>
      <c r="AQ3" s="6" t="s">
        <v>115</v>
      </c>
      <c r="AR3" s="6" t="s">
        <v>116</v>
      </c>
      <c r="AS3" s="6" t="s">
        <v>117</v>
      </c>
      <c r="AT3" s="6" t="s">
        <v>118</v>
      </c>
    </row>
    <row r="4" ht="13.5" spans="1:46">
      <c r="A4" t="s">
        <v>119</v>
      </c>
      <c r="B4">
        <v>1</v>
      </c>
      <c r="C4" t="s">
        <v>120</v>
      </c>
      <c r="D4" t="s">
        <v>121</v>
      </c>
      <c r="E4" t="s">
        <v>122</v>
      </c>
      <c r="F4" t="s">
        <v>123</v>
      </c>
      <c r="G4" t="s">
        <v>124</v>
      </c>
      <c r="H4" t="s">
        <v>125</v>
      </c>
      <c r="I4" t="s">
        <v>126</v>
      </c>
      <c r="J4" t="s">
        <v>122</v>
      </c>
      <c r="K4" t="s">
        <v>127</v>
      </c>
      <c r="L4" t="s">
        <v>128</v>
      </c>
      <c r="M4" t="s">
        <v>57</v>
      </c>
      <c r="N4" s="6" t="s">
        <v>129</v>
      </c>
      <c r="O4" s="6" t="s">
        <v>130</v>
      </c>
      <c r="P4" s="6" t="s">
        <v>131</v>
      </c>
      <c r="Q4">
        <v>30</v>
      </c>
      <c r="R4">
        <v>0.0044684093</v>
      </c>
      <c r="S4" s="6" t="s">
        <v>132</v>
      </c>
      <c r="T4">
        <v>2</v>
      </c>
      <c r="U4" s="3">
        <v>50</v>
      </c>
      <c r="V4" s="4" t="str">
        <f>IF(U4&gt;=[1]评分标准!$B$5,[1]评分标准!$A$5,IF(U4&gt;=[1]评分标准!$B$6,[1]评分标准!$A$6,IF(U4&gt;=[1]评分标准!$B$7,[1]评分标准!$A$7,IF(U4&gt;=[1]评分标准!$B$8,[1]评分标准!$A$8,[1]评分标准!$A$9))))</f>
        <v>较低相似</v>
      </c>
      <c r="W4" s="6" t="s">
        <v>133</v>
      </c>
      <c r="X4" s="6" t="s">
        <v>134</v>
      </c>
      <c r="Y4" s="6" t="s">
        <v>135</v>
      </c>
      <c r="Z4" s="6" t="s">
        <v>136</v>
      </c>
      <c r="AA4" s="6" t="s">
        <v>137</v>
      </c>
      <c r="AB4" s="6" t="s">
        <v>138</v>
      </c>
      <c r="AC4" s="6" t="s">
        <v>139</v>
      </c>
      <c r="AD4" s="6" t="s">
        <v>140</v>
      </c>
      <c r="AE4" s="6" t="s">
        <v>141</v>
      </c>
      <c r="AF4" s="6" t="s">
        <v>142</v>
      </c>
      <c r="AG4" s="6" t="s">
        <v>143</v>
      </c>
      <c r="AH4" s="6" t="s">
        <v>144</v>
      </c>
      <c r="AI4" s="6" t="s">
        <v>145</v>
      </c>
      <c r="AJ4" s="6" t="s">
        <v>146</v>
      </c>
      <c r="AK4" s="6" t="s">
        <v>147</v>
      </c>
      <c r="AL4" s="6" t="s">
        <v>148</v>
      </c>
      <c r="AM4" s="6" t="s">
        <v>149</v>
      </c>
      <c r="AN4" s="6" t="s">
        <v>150</v>
      </c>
      <c r="AO4" s="6" t="s">
        <v>151</v>
      </c>
      <c r="AP4" s="6" t="s">
        <v>152</v>
      </c>
      <c r="AQ4" s="6" t="s">
        <v>153</v>
      </c>
      <c r="AR4" s="6" t="s">
        <v>154</v>
      </c>
      <c r="AS4" s="6" t="s">
        <v>155</v>
      </c>
      <c r="AT4" s="6" t="s">
        <v>156</v>
      </c>
    </row>
    <row r="5" ht="13.5" spans="1:46">
      <c r="A5" t="s">
        <v>157</v>
      </c>
      <c r="B5">
        <v>1</v>
      </c>
      <c r="C5" t="s">
        <v>158</v>
      </c>
      <c r="D5" t="s">
        <v>159</v>
      </c>
      <c r="E5" t="s">
        <v>160</v>
      </c>
      <c r="F5" t="s">
        <v>161</v>
      </c>
      <c r="G5" t="s">
        <v>162</v>
      </c>
      <c r="H5" t="s">
        <v>163</v>
      </c>
      <c r="I5" t="s">
        <v>164</v>
      </c>
      <c r="J5" t="s">
        <v>165</v>
      </c>
      <c r="K5" t="s">
        <v>166</v>
      </c>
      <c r="L5" t="s">
        <v>167</v>
      </c>
      <c r="M5" t="s">
        <v>57</v>
      </c>
      <c r="N5" s="6" t="s">
        <v>168</v>
      </c>
      <c r="O5" s="6" t="s">
        <v>169</v>
      </c>
      <c r="P5" s="6" t="s">
        <v>170</v>
      </c>
      <c r="Q5">
        <v>30</v>
      </c>
      <c r="R5">
        <v>0.011254655</v>
      </c>
      <c r="S5" s="6" t="s">
        <v>171</v>
      </c>
      <c r="T5">
        <v>1</v>
      </c>
      <c r="U5" s="3">
        <v>98</v>
      </c>
      <c r="V5" s="4" t="str">
        <f>IF(U5&gt;=[1]评分标准!$B$5,[1]评分标准!$A$5,IF(U5&gt;=[1]评分标准!$B$6,[1]评分标准!$A$6,IF(U5&gt;=[1]评分标准!$B$7,[1]评分标准!$A$7,IF(U5&gt;=[1]评分标准!$B$8,[1]评分标准!$A$8,[1]评分标准!$A$9))))</f>
        <v>高度相似</v>
      </c>
      <c r="W5" s="6" t="s">
        <v>172</v>
      </c>
      <c r="X5" s="6" t="s">
        <v>173</v>
      </c>
      <c r="Y5">
        <v>1</v>
      </c>
      <c r="Z5" s="6" t="s">
        <v>174</v>
      </c>
      <c r="AA5" s="6" t="s">
        <v>175</v>
      </c>
      <c r="AB5">
        <v>1</v>
      </c>
      <c r="AC5" s="6" t="s">
        <v>176</v>
      </c>
      <c r="AD5" s="6" t="s">
        <v>177</v>
      </c>
      <c r="AE5">
        <v>1</v>
      </c>
      <c r="AF5" s="6" t="s">
        <v>178</v>
      </c>
      <c r="AG5" s="6" t="s">
        <v>179</v>
      </c>
      <c r="AH5">
        <v>1</v>
      </c>
      <c r="AI5" s="6" t="s">
        <v>180</v>
      </c>
      <c r="AJ5" s="6" t="s">
        <v>181</v>
      </c>
      <c r="AK5" s="6" t="s">
        <v>182</v>
      </c>
      <c r="AL5" s="6" t="s">
        <v>183</v>
      </c>
      <c r="AM5" s="6" t="s">
        <v>184</v>
      </c>
      <c r="AN5" s="6" t="s">
        <v>185</v>
      </c>
      <c r="AO5" s="6" t="s">
        <v>186</v>
      </c>
      <c r="AP5" s="6" t="s">
        <v>187</v>
      </c>
      <c r="AQ5" s="6" t="s">
        <v>188</v>
      </c>
      <c r="AR5" s="6" t="s">
        <v>189</v>
      </c>
      <c r="AS5" s="6" t="s">
        <v>190</v>
      </c>
      <c r="AT5" s="6" t="s">
        <v>191</v>
      </c>
    </row>
    <row r="6" ht="13.5" spans="1:46">
      <c r="A6" t="s">
        <v>192</v>
      </c>
      <c r="B6">
        <v>1</v>
      </c>
      <c r="C6" t="s">
        <v>193</v>
      </c>
      <c r="D6" t="s">
        <v>194</v>
      </c>
      <c r="E6" t="s">
        <v>195</v>
      </c>
      <c r="F6" t="s">
        <v>196</v>
      </c>
      <c r="G6" t="s">
        <v>197</v>
      </c>
      <c r="H6" t="s">
        <v>198</v>
      </c>
      <c r="I6" t="s">
        <v>126</v>
      </c>
      <c r="J6" t="s">
        <v>195</v>
      </c>
      <c r="K6" t="s">
        <v>199</v>
      </c>
      <c r="L6" t="s">
        <v>200</v>
      </c>
      <c r="M6" t="s">
        <v>94</v>
      </c>
      <c r="N6" s="6" t="s">
        <v>201</v>
      </c>
      <c r="O6" s="6" t="s">
        <v>202</v>
      </c>
      <c r="P6" s="6" t="s">
        <v>203</v>
      </c>
      <c r="Q6">
        <v>26</v>
      </c>
      <c r="R6">
        <v>0.011407683</v>
      </c>
      <c r="S6" s="6" t="s">
        <v>204</v>
      </c>
      <c r="T6">
        <v>7</v>
      </c>
      <c r="U6" s="3">
        <v>98</v>
      </c>
      <c r="V6" s="4" t="str">
        <f>IF(U6&gt;=[1]评分标准!$B$5,[1]评分标准!$A$5,IF(U6&gt;=[1]评分标准!$B$6,[1]评分标准!$A$6,IF(U6&gt;=[1]评分标准!$B$7,[1]评分标准!$A$7,IF(U6&gt;=[1]评分标准!$B$8,[1]评分标准!$A$8,[1]评分标准!$A$9))))</f>
        <v>高度相似</v>
      </c>
      <c r="W6" s="6" t="s">
        <v>205</v>
      </c>
      <c r="X6" s="6" t="s">
        <v>206</v>
      </c>
      <c r="Y6">
        <v>1</v>
      </c>
      <c r="Z6" s="6" t="s">
        <v>207</v>
      </c>
      <c r="AA6" s="6" t="s">
        <v>208</v>
      </c>
      <c r="AB6">
        <v>1</v>
      </c>
      <c r="AC6" s="6" t="s">
        <v>209</v>
      </c>
      <c r="AD6" s="6" t="s">
        <v>210</v>
      </c>
      <c r="AE6">
        <v>1</v>
      </c>
      <c r="AF6" s="6" t="s">
        <v>211</v>
      </c>
      <c r="AG6" s="6" t="s">
        <v>212</v>
      </c>
      <c r="AH6">
        <v>1</v>
      </c>
      <c r="AI6" s="6" t="s">
        <v>213</v>
      </c>
      <c r="AJ6" s="6" t="s">
        <v>214</v>
      </c>
      <c r="AK6" s="6" t="s">
        <v>215</v>
      </c>
      <c r="AL6" s="6" t="s">
        <v>216</v>
      </c>
      <c r="AM6" s="6" t="s">
        <v>217</v>
      </c>
      <c r="AN6" s="6" t="s">
        <v>218</v>
      </c>
      <c r="AO6" s="6" t="s">
        <v>219</v>
      </c>
      <c r="AP6" s="6" t="s">
        <v>220</v>
      </c>
      <c r="AQ6" s="6" t="s">
        <v>221</v>
      </c>
      <c r="AR6" s="6" t="s">
        <v>222</v>
      </c>
      <c r="AS6" s="6" t="s">
        <v>223</v>
      </c>
      <c r="AT6" s="6" t="s">
        <v>224</v>
      </c>
    </row>
    <row r="7" ht="13.5" spans="1:46">
      <c r="A7" t="s">
        <v>225</v>
      </c>
      <c r="B7">
        <v>1</v>
      </c>
      <c r="C7" t="s">
        <v>226</v>
      </c>
      <c r="D7" t="s">
        <v>227</v>
      </c>
      <c r="E7" t="s">
        <v>228</v>
      </c>
      <c r="F7" t="s">
        <v>229</v>
      </c>
      <c r="G7" t="s">
        <v>230</v>
      </c>
      <c r="H7" t="s">
        <v>231</v>
      </c>
      <c r="I7" t="s">
        <v>232</v>
      </c>
      <c r="J7" t="s">
        <v>233</v>
      </c>
      <c r="K7" t="s">
        <v>234</v>
      </c>
      <c r="L7" t="s">
        <v>235</v>
      </c>
      <c r="M7" t="s">
        <v>236</v>
      </c>
      <c r="N7" s="6" t="s">
        <v>237</v>
      </c>
      <c r="O7" s="6" t="s">
        <v>238</v>
      </c>
      <c r="P7" s="6" t="s">
        <v>239</v>
      </c>
      <c r="Q7">
        <v>20</v>
      </c>
      <c r="R7">
        <v>0.021848876</v>
      </c>
      <c r="S7" s="6" t="s">
        <v>240</v>
      </c>
      <c r="T7">
        <v>0</v>
      </c>
      <c r="U7" s="3">
        <v>35</v>
      </c>
      <c r="V7" s="4" t="str">
        <f>IF(U7&gt;=[1]评分标准!$B$5,[1]评分标准!$A$5,IF(U7&gt;=[1]评分标准!$B$6,[1]评分标准!$A$6,IF(U7&gt;=[1]评分标准!$B$7,[1]评分标准!$A$7,IF(U7&gt;=[1]评分标准!$B$8,[1]评分标准!$A$8,[1]评分标准!$A$9))))</f>
        <v>不相似</v>
      </c>
      <c r="W7" s="6" t="s">
        <v>241</v>
      </c>
      <c r="X7" s="6" t="s">
        <v>242</v>
      </c>
      <c r="Y7" s="6" t="s">
        <v>243</v>
      </c>
      <c r="Z7" s="6" t="s">
        <v>244</v>
      </c>
      <c r="AA7" s="6" t="s">
        <v>245</v>
      </c>
      <c r="AB7" s="6" t="s">
        <v>246</v>
      </c>
      <c r="AC7" s="6" t="s">
        <v>247</v>
      </c>
      <c r="AD7" s="6" t="s">
        <v>248</v>
      </c>
      <c r="AE7" s="6" t="s">
        <v>249</v>
      </c>
      <c r="AF7" s="6" t="s">
        <v>250</v>
      </c>
      <c r="AG7" s="6" t="s">
        <v>251</v>
      </c>
      <c r="AH7" s="6" t="s">
        <v>252</v>
      </c>
      <c r="AI7" s="6" t="s">
        <v>253</v>
      </c>
      <c r="AJ7" s="6" t="s">
        <v>254</v>
      </c>
      <c r="AK7" s="6" t="s">
        <v>255</v>
      </c>
      <c r="AL7" s="6" t="s">
        <v>256</v>
      </c>
      <c r="AM7" s="6" t="s">
        <v>257</v>
      </c>
      <c r="AN7" s="6" t="s">
        <v>258</v>
      </c>
      <c r="AO7" s="6" t="s">
        <v>259</v>
      </c>
      <c r="AP7" s="6" t="s">
        <v>260</v>
      </c>
      <c r="AQ7" s="6" t="s">
        <v>261</v>
      </c>
      <c r="AR7" s="6" t="s">
        <v>262</v>
      </c>
      <c r="AS7" s="6" t="s">
        <v>263</v>
      </c>
      <c r="AT7" s="6" t="s">
        <v>264</v>
      </c>
    </row>
    <row r="8" ht="13.5" spans="1:46">
      <c r="A8" t="s">
        <v>265</v>
      </c>
      <c r="B8">
        <v>1</v>
      </c>
      <c r="C8" t="s">
        <v>266</v>
      </c>
      <c r="D8" t="s">
        <v>267</v>
      </c>
      <c r="E8" t="e">
        <f>-E_n/(mom*COS(theta))</f>
        <v>#NAME?</v>
      </c>
      <c r="F8" t="s">
        <v>268</v>
      </c>
      <c r="G8" t="s">
        <v>269</v>
      </c>
      <c r="H8" t="s">
        <v>270</v>
      </c>
      <c r="I8" t="s">
        <v>126</v>
      </c>
      <c r="J8" t="e">
        <f>-E_n/(mom*COS(theta))</f>
        <v>#NAME?</v>
      </c>
      <c r="K8" t="s">
        <v>271</v>
      </c>
      <c r="L8" t="s">
        <v>272</v>
      </c>
      <c r="M8" t="s">
        <v>273</v>
      </c>
      <c r="N8" s="6" t="s">
        <v>274</v>
      </c>
      <c r="O8" s="6" t="s">
        <v>275</v>
      </c>
      <c r="P8" s="6" t="s">
        <v>276</v>
      </c>
      <c r="Q8">
        <v>11</v>
      </c>
      <c r="R8">
        <v>0.008846832</v>
      </c>
      <c r="S8" s="6" t="s">
        <v>277</v>
      </c>
      <c r="T8">
        <v>3</v>
      </c>
      <c r="U8" s="3">
        <v>98</v>
      </c>
      <c r="V8" s="4" t="str">
        <f>IF(U8&gt;=[1]评分标准!$B$5,[1]评分标准!$A$5,IF(U8&gt;=[1]评分标准!$B$6,[1]评分标准!$A$6,IF(U8&gt;=[1]评分标准!$B$7,[1]评分标准!$A$7,IF(U8&gt;=[1]评分标准!$B$8,[1]评分标准!$A$8,[1]评分标准!$A$9))))</f>
        <v>高度相似</v>
      </c>
      <c r="W8" s="6" t="s">
        <v>278</v>
      </c>
      <c r="X8" s="6" t="s">
        <v>279</v>
      </c>
      <c r="Y8">
        <v>1</v>
      </c>
      <c r="Z8" s="6" t="s">
        <v>280</v>
      </c>
      <c r="AA8" s="6" t="s">
        <v>281</v>
      </c>
      <c r="AB8">
        <v>1</v>
      </c>
      <c r="AC8" s="6" t="s">
        <v>282</v>
      </c>
      <c r="AD8" s="6" t="s">
        <v>283</v>
      </c>
      <c r="AE8">
        <v>1</v>
      </c>
      <c r="AF8" s="6" t="s">
        <v>284</v>
      </c>
      <c r="AG8" s="6" t="s">
        <v>285</v>
      </c>
      <c r="AH8">
        <v>1</v>
      </c>
      <c r="AI8" s="6" t="s">
        <v>286</v>
      </c>
      <c r="AJ8" s="6" t="s">
        <v>287</v>
      </c>
      <c r="AK8" s="6" t="s">
        <v>288</v>
      </c>
      <c r="AL8" s="6" t="s">
        <v>289</v>
      </c>
      <c r="AM8" s="6" t="s">
        <v>290</v>
      </c>
      <c r="AN8" s="6" t="s">
        <v>291</v>
      </c>
      <c r="AO8" s="6" t="s">
        <v>292</v>
      </c>
      <c r="AP8" s="6" t="s">
        <v>293</v>
      </c>
      <c r="AQ8" s="6" t="s">
        <v>294</v>
      </c>
      <c r="AR8" s="6" t="s">
        <v>295</v>
      </c>
      <c r="AS8" s="6" t="s">
        <v>296</v>
      </c>
      <c r="AT8" s="6" t="s">
        <v>297</v>
      </c>
    </row>
    <row r="9" ht="13.5" spans="1:46">
      <c r="A9" t="s">
        <v>298</v>
      </c>
      <c r="B9">
        <v>1</v>
      </c>
      <c r="C9" t="s">
        <v>299</v>
      </c>
      <c r="D9" t="s">
        <v>300</v>
      </c>
      <c r="E9" t="s">
        <v>301</v>
      </c>
      <c r="F9" t="s">
        <v>302</v>
      </c>
      <c r="G9" t="s">
        <v>303</v>
      </c>
      <c r="H9" t="s">
        <v>270</v>
      </c>
      <c r="I9" t="s">
        <v>126</v>
      </c>
      <c r="J9" t="s">
        <v>301</v>
      </c>
      <c r="K9" t="s">
        <v>304</v>
      </c>
      <c r="L9" t="s">
        <v>305</v>
      </c>
      <c r="M9" t="s">
        <v>236</v>
      </c>
      <c r="N9" s="6" t="s">
        <v>306</v>
      </c>
      <c r="O9" s="6" t="s">
        <v>307</v>
      </c>
      <c r="P9">
        <v>-25.5557729594736</v>
      </c>
      <c r="Q9">
        <v>34</v>
      </c>
      <c r="R9">
        <v>0.012731373</v>
      </c>
      <c r="S9" s="6" t="s">
        <v>308</v>
      </c>
      <c r="T9">
        <v>2</v>
      </c>
      <c r="U9" s="3">
        <v>35</v>
      </c>
      <c r="V9" s="4" t="str">
        <f>IF(U9&gt;=[1]评分标准!$B$5,[1]评分标准!$A$5,IF(U9&gt;=[1]评分标准!$B$6,[1]评分标准!$A$6,IF(U9&gt;=[1]评分标准!$B$7,[1]评分标准!$A$7,IF(U9&gt;=[1]评分标准!$B$8,[1]评分标准!$A$8,[1]评分标准!$A$9))))</f>
        <v>不相似</v>
      </c>
      <c r="W9" s="6" t="s">
        <v>309</v>
      </c>
      <c r="X9" s="6" t="s">
        <v>310</v>
      </c>
      <c r="Y9">
        <v>-2.59326208911953</v>
      </c>
      <c r="Z9" s="6" t="s">
        <v>311</v>
      </c>
      <c r="AA9" s="6" t="s">
        <v>312</v>
      </c>
      <c r="AB9" s="6" t="s">
        <v>313</v>
      </c>
      <c r="AC9" s="6" t="s">
        <v>314</v>
      </c>
      <c r="AD9" s="6" t="s">
        <v>315</v>
      </c>
      <c r="AE9" s="6" t="s">
        <v>316</v>
      </c>
      <c r="AF9" s="6" t="s">
        <v>317</v>
      </c>
      <c r="AG9" s="6" t="s">
        <v>318</v>
      </c>
      <c r="AH9">
        <v>-4.5683182710927</v>
      </c>
      <c r="AI9" s="6" t="s">
        <v>319</v>
      </c>
      <c r="AJ9" s="6" t="s">
        <v>320</v>
      </c>
      <c r="AK9">
        <v>-4.56101065111706</v>
      </c>
      <c r="AL9" s="6" t="s">
        <v>321</v>
      </c>
      <c r="AM9" s="6" t="s">
        <v>322</v>
      </c>
      <c r="AN9">
        <v>-0.0556035830391688</v>
      </c>
      <c r="AO9" s="6" t="s">
        <v>323</v>
      </c>
      <c r="AP9" s="6" t="s">
        <v>324</v>
      </c>
      <c r="AQ9">
        <v>-4.43181080482427</v>
      </c>
      <c r="AR9" s="6" t="s">
        <v>325</v>
      </c>
      <c r="AS9" s="6" t="s">
        <v>326</v>
      </c>
      <c r="AT9">
        <v>-4.08972358223886</v>
      </c>
    </row>
    <row r="10" ht="13.5" spans="1:46">
      <c r="A10" t="s">
        <v>327</v>
      </c>
      <c r="B10">
        <v>1</v>
      </c>
      <c r="C10" t="s">
        <v>328</v>
      </c>
      <c r="D10" t="s">
        <v>329</v>
      </c>
      <c r="E10" t="s">
        <v>330</v>
      </c>
      <c r="F10" t="s">
        <v>50</v>
      </c>
      <c r="G10" t="s">
        <v>331</v>
      </c>
      <c r="H10" t="s">
        <v>332</v>
      </c>
      <c r="I10" t="s">
        <v>333</v>
      </c>
      <c r="J10" t="s">
        <v>334</v>
      </c>
      <c r="K10" t="s">
        <v>335</v>
      </c>
      <c r="L10" t="s">
        <v>336</v>
      </c>
      <c r="M10" t="s">
        <v>236</v>
      </c>
      <c r="N10" s="6" t="s">
        <v>337</v>
      </c>
      <c r="O10" s="6" t="s">
        <v>338</v>
      </c>
      <c r="P10" s="6" t="s">
        <v>339</v>
      </c>
      <c r="Q10">
        <v>20</v>
      </c>
      <c r="R10">
        <v>0.0009713642</v>
      </c>
      <c r="S10" s="6" t="s">
        <v>340</v>
      </c>
      <c r="T10">
        <v>1</v>
      </c>
      <c r="U10" s="3">
        <v>98</v>
      </c>
      <c r="V10" s="4" t="str">
        <f>IF(U10&gt;=[1]评分标准!$B$5,[1]评分标准!$A$5,IF(U10&gt;=[1]评分标准!$B$6,[1]评分标准!$A$6,IF(U10&gt;=[1]评分标准!$B$7,[1]评分标准!$A$7,IF(U10&gt;=[1]评分标准!$B$8,[1]评分标准!$A$8,[1]评分标准!$A$9))))</f>
        <v>高度相似</v>
      </c>
      <c r="W10" s="6" t="s">
        <v>341</v>
      </c>
      <c r="X10" s="6" t="s">
        <v>342</v>
      </c>
      <c r="Y10">
        <v>1</v>
      </c>
      <c r="Z10" s="6" t="s">
        <v>343</v>
      </c>
      <c r="AA10" s="6" t="s">
        <v>344</v>
      </c>
      <c r="AB10">
        <v>1</v>
      </c>
      <c r="AC10" s="6" t="s">
        <v>345</v>
      </c>
      <c r="AD10" s="6" t="s">
        <v>346</v>
      </c>
      <c r="AE10">
        <v>1</v>
      </c>
      <c r="AF10" s="6" t="s">
        <v>347</v>
      </c>
      <c r="AG10" s="6" t="s">
        <v>348</v>
      </c>
      <c r="AH10">
        <v>1</v>
      </c>
      <c r="AI10" s="6" t="s">
        <v>349</v>
      </c>
      <c r="AJ10" s="6" t="s">
        <v>350</v>
      </c>
      <c r="AK10" s="6" t="s">
        <v>351</v>
      </c>
      <c r="AL10" s="6" t="s">
        <v>352</v>
      </c>
      <c r="AM10" s="6" t="s">
        <v>353</v>
      </c>
      <c r="AN10" s="6" t="s">
        <v>354</v>
      </c>
      <c r="AO10" s="6" t="s">
        <v>355</v>
      </c>
      <c r="AP10" s="6" t="s">
        <v>356</v>
      </c>
      <c r="AQ10" s="6" t="s">
        <v>357</v>
      </c>
      <c r="AR10" s="6" t="s">
        <v>358</v>
      </c>
      <c r="AS10" s="6" t="s">
        <v>359</v>
      </c>
      <c r="AT10" s="6" t="s">
        <v>360</v>
      </c>
    </row>
    <row r="11" ht="13.5" spans="1:46">
      <c r="A11" t="s">
        <v>361</v>
      </c>
      <c r="B11">
        <v>1</v>
      </c>
      <c r="C11" t="s">
        <v>362</v>
      </c>
      <c r="D11" t="s">
        <v>363</v>
      </c>
      <c r="E11" t="s">
        <v>364</v>
      </c>
      <c r="F11" t="s">
        <v>365</v>
      </c>
      <c r="G11" t="s">
        <v>366</v>
      </c>
      <c r="H11" t="s">
        <v>367</v>
      </c>
      <c r="I11" t="s">
        <v>368</v>
      </c>
      <c r="J11" t="s">
        <v>369</v>
      </c>
      <c r="K11" t="s">
        <v>370</v>
      </c>
      <c r="L11" t="s">
        <v>371</v>
      </c>
      <c r="M11" t="s">
        <v>94</v>
      </c>
      <c r="N11" s="6" t="s">
        <v>372</v>
      </c>
      <c r="O11" s="6" t="s">
        <v>373</v>
      </c>
      <c r="P11" s="6" t="s">
        <v>374</v>
      </c>
      <c r="Q11">
        <v>21</v>
      </c>
      <c r="R11">
        <v>0.00020798368</v>
      </c>
      <c r="S11" s="6" t="s">
        <v>375</v>
      </c>
      <c r="T11">
        <v>1</v>
      </c>
      <c r="U11" s="3">
        <v>35</v>
      </c>
      <c r="V11" s="4" t="str">
        <f>IF(U11&gt;=[1]评分标准!$B$5,[1]评分标准!$A$5,IF(U11&gt;=[1]评分标准!$B$6,[1]评分标准!$A$6,IF(U11&gt;=[1]评分标准!$B$7,[1]评分标准!$A$7,IF(U11&gt;=[1]评分标准!$B$8,[1]评分标准!$A$8,[1]评分标准!$A$9))))</f>
        <v>不相似</v>
      </c>
      <c r="W11" s="6" t="s">
        <v>376</v>
      </c>
      <c r="X11" s="6" t="s">
        <v>377</v>
      </c>
      <c r="Y11" s="6" t="s">
        <v>378</v>
      </c>
      <c r="Z11" s="6" t="s">
        <v>379</v>
      </c>
      <c r="AA11" s="6" t="s">
        <v>380</v>
      </c>
      <c r="AB11" s="6" t="s">
        <v>381</v>
      </c>
      <c r="AC11" s="6" t="s">
        <v>382</v>
      </c>
      <c r="AD11" s="6" t="s">
        <v>383</v>
      </c>
      <c r="AE11" s="6" t="s">
        <v>384</v>
      </c>
      <c r="AF11" s="6" t="s">
        <v>385</v>
      </c>
      <c r="AG11" s="6" t="s">
        <v>386</v>
      </c>
      <c r="AH11" s="6" t="s">
        <v>387</v>
      </c>
      <c r="AI11" s="6" t="s">
        <v>388</v>
      </c>
      <c r="AJ11" s="6" t="s">
        <v>389</v>
      </c>
      <c r="AK11" s="6" t="s">
        <v>390</v>
      </c>
      <c r="AL11" s="6" t="s">
        <v>391</v>
      </c>
      <c r="AM11" s="6" t="s">
        <v>392</v>
      </c>
      <c r="AN11" s="6" t="s">
        <v>393</v>
      </c>
      <c r="AO11" s="6" t="s">
        <v>394</v>
      </c>
      <c r="AP11" s="6" t="s">
        <v>395</v>
      </c>
      <c r="AQ11" s="6" t="s">
        <v>396</v>
      </c>
      <c r="AR11" s="6" t="s">
        <v>397</v>
      </c>
      <c r="AS11" s="6" t="s">
        <v>398</v>
      </c>
      <c r="AT11" s="6" t="s">
        <v>399</v>
      </c>
    </row>
    <row r="12" ht="13.5" spans="1:46">
      <c r="A12" t="s">
        <v>400</v>
      </c>
      <c r="B12">
        <v>1</v>
      </c>
      <c r="C12" t="s">
        <v>401</v>
      </c>
      <c r="D12" t="s">
        <v>402</v>
      </c>
      <c r="E12" t="s">
        <v>403</v>
      </c>
      <c r="F12" t="s">
        <v>229</v>
      </c>
      <c r="G12" t="s">
        <v>404</v>
      </c>
      <c r="H12" t="s">
        <v>405</v>
      </c>
      <c r="I12" t="s">
        <v>406</v>
      </c>
      <c r="J12" t="s">
        <v>407</v>
      </c>
      <c r="K12" t="s">
        <v>408</v>
      </c>
      <c r="L12" t="s">
        <v>409</v>
      </c>
      <c r="M12" t="s">
        <v>410</v>
      </c>
      <c r="N12" s="6" t="s">
        <v>411</v>
      </c>
      <c r="O12" s="6" t="s">
        <v>412</v>
      </c>
      <c r="P12">
        <v>-1.73322294109034</v>
      </c>
      <c r="Q12">
        <v>27</v>
      </c>
      <c r="R12">
        <v>0.0023429485</v>
      </c>
      <c r="S12" s="6" t="s">
        <v>413</v>
      </c>
      <c r="T12">
        <v>5</v>
      </c>
      <c r="U12" s="3">
        <v>98</v>
      </c>
      <c r="V12" s="4" t="str">
        <f>IF(U12&gt;=[1]评分标准!$B$5,[1]评分标准!$A$5,IF(U12&gt;=[1]评分标准!$B$6,[1]评分标准!$A$6,IF(U12&gt;=[1]评分标准!$B$7,[1]评分标准!$A$7,IF(U12&gt;=[1]评分标准!$B$8,[1]评分标准!$A$8,[1]评分标准!$A$9))))</f>
        <v>高度相似</v>
      </c>
      <c r="W12" s="6" t="s">
        <v>414</v>
      </c>
      <c r="X12" s="6" t="s">
        <v>415</v>
      </c>
      <c r="Y12" s="6" t="s">
        <v>416</v>
      </c>
      <c r="Z12" s="6" t="s">
        <v>417</v>
      </c>
      <c r="AA12" s="6" t="s">
        <v>418</v>
      </c>
      <c r="AB12" s="6" t="s">
        <v>419</v>
      </c>
      <c r="AC12" s="6" t="s">
        <v>420</v>
      </c>
      <c r="AD12" s="6" t="s">
        <v>421</v>
      </c>
      <c r="AE12" s="6" t="s">
        <v>422</v>
      </c>
      <c r="AF12" s="6" t="s">
        <v>423</v>
      </c>
      <c r="AG12" s="6" t="s">
        <v>424</v>
      </c>
      <c r="AH12" s="6" t="s">
        <v>425</v>
      </c>
      <c r="AI12" s="6" t="s">
        <v>426</v>
      </c>
      <c r="AJ12" s="6" t="s">
        <v>427</v>
      </c>
      <c r="AK12" s="6" t="s">
        <v>428</v>
      </c>
      <c r="AL12" s="6" t="s">
        <v>429</v>
      </c>
      <c r="AM12" s="6" t="s">
        <v>430</v>
      </c>
      <c r="AN12" s="6" t="s">
        <v>431</v>
      </c>
      <c r="AO12" s="6" t="s">
        <v>432</v>
      </c>
      <c r="AP12" s="6" t="s">
        <v>433</v>
      </c>
      <c r="AQ12" s="6" t="s">
        <v>434</v>
      </c>
      <c r="AR12" s="6" t="s">
        <v>435</v>
      </c>
      <c r="AS12" s="6" t="s">
        <v>436</v>
      </c>
      <c r="AT12" s="6" t="s">
        <v>437</v>
      </c>
    </row>
    <row r="13" ht="13.5" spans="1:46">
      <c r="A13" t="s">
        <v>438</v>
      </c>
      <c r="B13">
        <v>1</v>
      </c>
      <c r="C13" t="s">
        <v>439</v>
      </c>
      <c r="D13" t="s">
        <v>440</v>
      </c>
      <c r="E13" t="s">
        <v>441</v>
      </c>
      <c r="F13" t="s">
        <v>442</v>
      </c>
      <c r="G13" t="s">
        <v>443</v>
      </c>
      <c r="H13" t="s">
        <v>444</v>
      </c>
      <c r="I13" t="s">
        <v>445</v>
      </c>
      <c r="J13" t="s">
        <v>446</v>
      </c>
      <c r="K13" t="s">
        <v>447</v>
      </c>
      <c r="L13" t="s">
        <v>448</v>
      </c>
      <c r="M13" t="s">
        <v>410</v>
      </c>
      <c r="N13" s="6" t="s">
        <v>449</v>
      </c>
      <c r="O13" s="6" t="s">
        <v>450</v>
      </c>
      <c r="P13" s="6" t="s">
        <v>451</v>
      </c>
      <c r="Q13">
        <v>19</v>
      </c>
      <c r="R13">
        <v>0.0042929724</v>
      </c>
      <c r="S13" s="6" t="s">
        <v>452</v>
      </c>
      <c r="T13">
        <v>3</v>
      </c>
      <c r="U13" s="3">
        <v>98</v>
      </c>
      <c r="V13" s="4" t="str">
        <f>IF(U13&gt;=[1]评分标准!$B$5,[1]评分标准!$A$5,IF(U13&gt;=[1]评分标准!$B$6,[1]评分标准!$A$6,IF(U13&gt;=[1]评分标准!$B$7,[1]评分标准!$A$7,IF(U13&gt;=[1]评分标准!$B$8,[1]评分标准!$A$8,[1]评分标准!$A$9))))</f>
        <v>高度相似</v>
      </c>
      <c r="W13" s="6" t="s">
        <v>453</v>
      </c>
      <c r="X13" s="6" t="s">
        <v>454</v>
      </c>
      <c r="Y13" s="6" t="s">
        <v>455</v>
      </c>
      <c r="Z13" s="6" t="s">
        <v>456</v>
      </c>
      <c r="AA13" s="6" t="s">
        <v>457</v>
      </c>
      <c r="AB13" s="6" t="s">
        <v>458</v>
      </c>
      <c r="AC13" s="6" t="s">
        <v>459</v>
      </c>
      <c r="AD13" s="6" t="s">
        <v>460</v>
      </c>
      <c r="AE13" s="6" t="s">
        <v>461</v>
      </c>
      <c r="AF13" s="6" t="s">
        <v>462</v>
      </c>
      <c r="AG13" s="6" t="s">
        <v>463</v>
      </c>
      <c r="AH13" s="6" t="s">
        <v>464</v>
      </c>
      <c r="AI13" s="6" t="s">
        <v>465</v>
      </c>
      <c r="AJ13" s="6" t="s">
        <v>466</v>
      </c>
      <c r="AK13" s="6" t="s">
        <v>467</v>
      </c>
      <c r="AL13" s="6" t="s">
        <v>468</v>
      </c>
      <c r="AM13" s="6" t="s">
        <v>469</v>
      </c>
      <c r="AN13" s="6" t="s">
        <v>470</v>
      </c>
      <c r="AO13" s="6" t="s">
        <v>471</v>
      </c>
      <c r="AP13" s="6" t="s">
        <v>472</v>
      </c>
      <c r="AQ13" s="6" t="s">
        <v>473</v>
      </c>
      <c r="AR13" s="6" t="s">
        <v>474</v>
      </c>
      <c r="AS13" s="6" t="s">
        <v>475</v>
      </c>
      <c r="AT13" s="6" t="s">
        <v>476</v>
      </c>
    </row>
    <row r="14" ht="13.5" spans="1:46">
      <c r="A14" t="s">
        <v>477</v>
      </c>
      <c r="B14">
        <v>1</v>
      </c>
      <c r="C14" t="s">
        <v>478</v>
      </c>
      <c r="D14" t="s">
        <v>479</v>
      </c>
      <c r="E14" t="s">
        <v>480</v>
      </c>
      <c r="F14" t="s">
        <v>481</v>
      </c>
      <c r="G14" t="s">
        <v>51</v>
      </c>
      <c r="H14" t="s">
        <v>482</v>
      </c>
      <c r="I14" t="s">
        <v>483</v>
      </c>
      <c r="J14" t="s">
        <v>484</v>
      </c>
      <c r="K14" t="s">
        <v>485</v>
      </c>
      <c r="L14" t="s">
        <v>486</v>
      </c>
      <c r="M14" t="s">
        <v>236</v>
      </c>
      <c r="N14" s="6" t="s">
        <v>487</v>
      </c>
      <c r="O14" s="6" t="s">
        <v>488</v>
      </c>
      <c r="P14" s="6" t="s">
        <v>489</v>
      </c>
      <c r="Q14">
        <v>35</v>
      </c>
      <c r="R14">
        <v>0.0065434603</v>
      </c>
      <c r="S14" s="6" t="s">
        <v>490</v>
      </c>
      <c r="T14">
        <v>1</v>
      </c>
      <c r="U14" s="3">
        <v>98</v>
      </c>
      <c r="V14" s="4" t="str">
        <f>IF(U14&gt;=[1]评分标准!$B$5,[1]评分标准!$A$5,IF(U14&gt;=[1]评分标准!$B$6,[1]评分标准!$A$6,IF(U14&gt;=[1]评分标准!$B$7,[1]评分标准!$A$7,IF(U14&gt;=[1]评分标准!$B$8,[1]评分标准!$A$8,[1]评分标准!$A$9))))</f>
        <v>高度相似</v>
      </c>
      <c r="W14" s="6" t="s">
        <v>491</v>
      </c>
      <c r="X14" s="6" t="s">
        <v>492</v>
      </c>
      <c r="Y14" s="6" t="s">
        <v>493</v>
      </c>
      <c r="Z14" s="6" t="s">
        <v>494</v>
      </c>
      <c r="AA14" s="6" t="s">
        <v>495</v>
      </c>
      <c r="AB14" s="6" t="s">
        <v>496</v>
      </c>
      <c r="AC14" s="6" t="s">
        <v>497</v>
      </c>
      <c r="AD14" s="6" t="s">
        <v>498</v>
      </c>
      <c r="AE14">
        <v>1</v>
      </c>
      <c r="AF14" s="6" t="s">
        <v>499</v>
      </c>
      <c r="AG14" s="6" t="s">
        <v>500</v>
      </c>
      <c r="AH14" s="6" t="s">
        <v>501</v>
      </c>
      <c r="AI14" s="6" t="s">
        <v>502</v>
      </c>
      <c r="AJ14" s="6" t="s">
        <v>503</v>
      </c>
      <c r="AK14" s="6" t="s">
        <v>504</v>
      </c>
      <c r="AL14" s="6" t="s">
        <v>505</v>
      </c>
      <c r="AM14" s="6" t="s">
        <v>506</v>
      </c>
      <c r="AN14" s="6" t="s">
        <v>507</v>
      </c>
      <c r="AO14" s="6" t="s">
        <v>508</v>
      </c>
      <c r="AP14" s="6" t="s">
        <v>509</v>
      </c>
      <c r="AQ14" s="6" t="s">
        <v>510</v>
      </c>
      <c r="AR14" s="6" t="s">
        <v>511</v>
      </c>
      <c r="AS14" s="6" t="s">
        <v>512</v>
      </c>
      <c r="AT14" s="6" t="s">
        <v>513</v>
      </c>
    </row>
    <row r="15" ht="13.5" spans="1:46">
      <c r="A15" t="s">
        <v>514</v>
      </c>
      <c r="B15">
        <v>1</v>
      </c>
      <c r="C15" t="s">
        <v>515</v>
      </c>
      <c r="D15" t="s">
        <v>516</v>
      </c>
      <c r="E15" t="s">
        <v>517</v>
      </c>
      <c r="F15" t="s">
        <v>268</v>
      </c>
      <c r="G15" t="s">
        <v>51</v>
      </c>
      <c r="H15" t="s">
        <v>518</v>
      </c>
      <c r="I15" t="s">
        <v>519</v>
      </c>
      <c r="J15" t="s">
        <v>520</v>
      </c>
      <c r="K15" t="s">
        <v>521</v>
      </c>
      <c r="L15" t="s">
        <v>522</v>
      </c>
      <c r="M15" t="s">
        <v>410</v>
      </c>
      <c r="N15" s="6" t="s">
        <v>523</v>
      </c>
      <c r="O15" s="6" t="s">
        <v>524</v>
      </c>
      <c r="P15" s="6" t="s">
        <v>525</v>
      </c>
      <c r="Q15">
        <v>33</v>
      </c>
      <c r="R15">
        <v>0.00908518</v>
      </c>
      <c r="S15" s="6" t="s">
        <v>526</v>
      </c>
      <c r="T15">
        <v>4</v>
      </c>
      <c r="U15" s="3">
        <v>98</v>
      </c>
      <c r="V15" s="4" t="str">
        <f>IF(U15&gt;=[1]评分标准!$B$5,[1]评分标准!$A$5,IF(U15&gt;=[1]评分标准!$B$6,[1]评分标准!$A$6,IF(U15&gt;=[1]评分标准!$B$7,[1]评分标准!$A$7,IF(U15&gt;=[1]评分标准!$B$8,[1]评分标准!$A$8,[1]评分标准!$A$9))))</f>
        <v>高度相似</v>
      </c>
      <c r="W15" s="6" t="s">
        <v>527</v>
      </c>
      <c r="X15" s="6" t="s">
        <v>528</v>
      </c>
      <c r="Y15">
        <v>1</v>
      </c>
      <c r="Z15" s="6" t="s">
        <v>529</v>
      </c>
      <c r="AA15" s="6" t="s">
        <v>530</v>
      </c>
      <c r="AB15">
        <v>1</v>
      </c>
      <c r="AC15" s="6" t="s">
        <v>531</v>
      </c>
      <c r="AD15" s="6" t="s">
        <v>532</v>
      </c>
      <c r="AE15">
        <v>1</v>
      </c>
      <c r="AF15" s="6" t="s">
        <v>533</v>
      </c>
      <c r="AG15" s="6" t="s">
        <v>534</v>
      </c>
      <c r="AH15">
        <v>1</v>
      </c>
      <c r="AI15" s="6" t="s">
        <v>535</v>
      </c>
      <c r="AJ15" s="6" t="s">
        <v>536</v>
      </c>
      <c r="AK15" s="6" t="s">
        <v>537</v>
      </c>
      <c r="AL15" s="6" t="s">
        <v>538</v>
      </c>
      <c r="AM15" s="6" t="s">
        <v>539</v>
      </c>
      <c r="AN15" s="6" t="s">
        <v>540</v>
      </c>
      <c r="AO15" s="6" t="s">
        <v>541</v>
      </c>
      <c r="AP15" s="6" t="s">
        <v>542</v>
      </c>
      <c r="AQ15" s="6" t="s">
        <v>543</v>
      </c>
      <c r="AR15" s="6" t="s">
        <v>544</v>
      </c>
      <c r="AS15" s="6" t="s">
        <v>545</v>
      </c>
      <c r="AT15" s="6" t="s">
        <v>546</v>
      </c>
    </row>
    <row r="16" ht="13.5" spans="1:46">
      <c r="A16" t="s">
        <v>547</v>
      </c>
      <c r="B16">
        <v>1</v>
      </c>
      <c r="C16" t="s">
        <v>548</v>
      </c>
      <c r="D16" t="s">
        <v>549</v>
      </c>
      <c r="E16" t="s">
        <v>550</v>
      </c>
      <c r="F16" t="s">
        <v>268</v>
      </c>
      <c r="G16" t="s">
        <v>365</v>
      </c>
      <c r="H16" t="s">
        <v>551</v>
      </c>
      <c r="I16" t="s">
        <v>552</v>
      </c>
      <c r="J16" t="s">
        <v>553</v>
      </c>
      <c r="K16" t="s">
        <v>554</v>
      </c>
      <c r="L16" t="s">
        <v>555</v>
      </c>
      <c r="M16" t="s">
        <v>273</v>
      </c>
      <c r="N16" s="6" t="s">
        <v>556</v>
      </c>
      <c r="O16" s="6" t="s">
        <v>557</v>
      </c>
      <c r="P16" s="6" t="s">
        <v>558</v>
      </c>
      <c r="Q16">
        <v>9</v>
      </c>
      <c r="R16">
        <v>0.003767038</v>
      </c>
      <c r="S16" s="6" t="s">
        <v>559</v>
      </c>
      <c r="T16">
        <v>4</v>
      </c>
      <c r="U16" s="3">
        <v>25</v>
      </c>
      <c r="V16" s="4" t="str">
        <f>IF(U16&gt;=[1]评分标准!$B$5,[1]评分标准!$A$5,IF(U16&gt;=[1]评分标准!$B$6,[1]评分标准!$A$6,IF(U16&gt;=[1]评分标准!$B$7,[1]评分标准!$A$7,IF(U16&gt;=[1]评分标准!$B$8,[1]评分标准!$A$8,[1]评分标准!$A$9))))</f>
        <v>不相似</v>
      </c>
      <c r="W16" s="6" t="s">
        <v>560</v>
      </c>
      <c r="X16" s="6" t="s">
        <v>561</v>
      </c>
      <c r="Y16" s="6" t="s">
        <v>562</v>
      </c>
      <c r="Z16" s="6" t="s">
        <v>563</v>
      </c>
      <c r="AA16" s="6" t="s">
        <v>564</v>
      </c>
      <c r="AB16" s="6" t="s">
        <v>565</v>
      </c>
      <c r="AC16" s="6" t="s">
        <v>566</v>
      </c>
      <c r="AD16" s="6" t="s">
        <v>567</v>
      </c>
      <c r="AE16" s="6" t="s">
        <v>568</v>
      </c>
      <c r="AF16" s="6" t="s">
        <v>569</v>
      </c>
      <c r="AG16" s="6" t="s">
        <v>570</v>
      </c>
      <c r="AH16" s="6" t="s">
        <v>571</v>
      </c>
      <c r="AI16" s="6" t="s">
        <v>572</v>
      </c>
      <c r="AJ16" s="6" t="s">
        <v>573</v>
      </c>
      <c r="AK16" s="6" t="s">
        <v>574</v>
      </c>
      <c r="AL16" s="6" t="s">
        <v>575</v>
      </c>
      <c r="AM16" s="6" t="s">
        <v>576</v>
      </c>
      <c r="AN16" s="6" t="s">
        <v>577</v>
      </c>
      <c r="AO16" s="6" t="s">
        <v>578</v>
      </c>
      <c r="AP16" s="6" t="s">
        <v>579</v>
      </c>
      <c r="AQ16" s="6" t="s">
        <v>580</v>
      </c>
      <c r="AR16" s="6" t="s">
        <v>581</v>
      </c>
      <c r="AS16" s="6" t="s">
        <v>582</v>
      </c>
      <c r="AT16" s="6" t="s">
        <v>583</v>
      </c>
    </row>
    <row r="17" ht="13.5" spans="1:46">
      <c r="A17" t="s">
        <v>584</v>
      </c>
      <c r="B17">
        <v>1</v>
      </c>
      <c r="C17" t="s">
        <v>585</v>
      </c>
      <c r="D17" t="s">
        <v>586</v>
      </c>
      <c r="E17" t="s">
        <v>587</v>
      </c>
      <c r="F17" t="s">
        <v>51</v>
      </c>
      <c r="G17" t="s">
        <v>588</v>
      </c>
      <c r="H17" t="s">
        <v>589</v>
      </c>
      <c r="I17" t="s">
        <v>90</v>
      </c>
      <c r="J17" t="s">
        <v>590</v>
      </c>
      <c r="K17" t="s">
        <v>591</v>
      </c>
      <c r="L17" t="s">
        <v>592</v>
      </c>
      <c r="M17" t="s">
        <v>593</v>
      </c>
      <c r="N17" s="6" t="s">
        <v>594</v>
      </c>
      <c r="O17" s="6" t="s">
        <v>595</v>
      </c>
      <c r="P17" s="6" t="s">
        <v>596</v>
      </c>
      <c r="Q17">
        <v>29</v>
      </c>
      <c r="R17">
        <v>0.009007827</v>
      </c>
      <c r="S17" s="6" t="s">
        <v>597</v>
      </c>
      <c r="T17">
        <v>0</v>
      </c>
      <c r="U17" s="3">
        <v>82</v>
      </c>
      <c r="V17" s="4" t="str">
        <f>IF(U17&gt;=[1]评分标准!$B$5,[1]评分标准!$A$5,IF(U17&gt;=[1]评分标准!$B$6,[1]评分标准!$A$6,IF(U17&gt;=[1]评分标准!$B$7,[1]评分标准!$A$7,IF(U17&gt;=[1]评分标准!$B$8,[1]评分标准!$A$8,[1]评分标准!$A$9))))</f>
        <v>较高相似</v>
      </c>
      <c r="W17" s="6" t="s">
        <v>598</v>
      </c>
      <c r="X17" s="6" t="s">
        <v>599</v>
      </c>
      <c r="Y17" s="6" t="s">
        <v>600</v>
      </c>
      <c r="Z17" s="6" t="s">
        <v>601</v>
      </c>
      <c r="AA17" s="6" t="s">
        <v>602</v>
      </c>
      <c r="AB17" s="6" t="s">
        <v>603</v>
      </c>
      <c r="AC17" s="6" t="s">
        <v>604</v>
      </c>
      <c r="AD17" s="6" t="s">
        <v>605</v>
      </c>
      <c r="AE17" s="6" t="s">
        <v>606</v>
      </c>
      <c r="AF17" s="6" t="s">
        <v>607</v>
      </c>
      <c r="AG17" s="6" t="s">
        <v>608</v>
      </c>
      <c r="AH17" s="6" t="s">
        <v>609</v>
      </c>
      <c r="AI17" s="6" t="s">
        <v>610</v>
      </c>
      <c r="AJ17" s="6" t="s">
        <v>611</v>
      </c>
      <c r="AK17" s="6" t="s">
        <v>612</v>
      </c>
      <c r="AL17" s="6" t="s">
        <v>613</v>
      </c>
      <c r="AM17" s="6" t="s">
        <v>614</v>
      </c>
      <c r="AN17" s="6" t="s">
        <v>615</v>
      </c>
      <c r="AO17" s="6" t="s">
        <v>616</v>
      </c>
      <c r="AP17" s="6" t="s">
        <v>617</v>
      </c>
      <c r="AQ17" s="6" t="s">
        <v>618</v>
      </c>
      <c r="AR17" s="6" t="s">
        <v>619</v>
      </c>
      <c r="AS17" s="6" t="s">
        <v>620</v>
      </c>
      <c r="AT17" s="6" t="s">
        <v>621</v>
      </c>
    </row>
    <row r="18" ht="13.5" spans="1:46">
      <c r="A18" t="s">
        <v>622</v>
      </c>
      <c r="B18">
        <v>1</v>
      </c>
      <c r="C18" t="s">
        <v>623</v>
      </c>
      <c r="D18" t="s">
        <v>624</v>
      </c>
      <c r="E18" t="s">
        <v>625</v>
      </c>
      <c r="F18" t="s">
        <v>365</v>
      </c>
      <c r="G18" t="s">
        <v>626</v>
      </c>
      <c r="H18" t="s">
        <v>627</v>
      </c>
      <c r="I18" t="s">
        <v>126</v>
      </c>
      <c r="J18" t="s">
        <v>628</v>
      </c>
      <c r="K18" t="s">
        <v>629</v>
      </c>
      <c r="L18" t="s">
        <v>630</v>
      </c>
      <c r="M18" t="s">
        <v>410</v>
      </c>
      <c r="N18" s="6" t="s">
        <v>631</v>
      </c>
      <c r="O18" s="6" t="s">
        <v>632</v>
      </c>
      <c r="P18" s="6" t="s">
        <v>633</v>
      </c>
      <c r="Q18">
        <v>27</v>
      </c>
      <c r="R18">
        <v>0.0052993842</v>
      </c>
      <c r="S18" s="6" t="s">
        <v>634</v>
      </c>
      <c r="T18">
        <v>4</v>
      </c>
      <c r="U18" s="3">
        <v>98</v>
      </c>
      <c r="V18" s="4" t="str">
        <f>IF(U18&gt;=[1]评分标准!$B$5,[1]评分标准!$A$5,IF(U18&gt;=[1]评分标准!$B$6,[1]评分标准!$A$6,IF(U18&gt;=[1]评分标准!$B$7,[1]评分标准!$A$7,IF(U18&gt;=[1]评分标准!$B$8,[1]评分标准!$A$8,[1]评分标准!$A$9))))</f>
        <v>高度相似</v>
      </c>
      <c r="W18" s="6" t="s">
        <v>635</v>
      </c>
      <c r="X18" s="6" t="s">
        <v>636</v>
      </c>
      <c r="Y18">
        <v>1</v>
      </c>
      <c r="Z18" s="6" t="s">
        <v>637</v>
      </c>
      <c r="AA18" s="6" t="s">
        <v>638</v>
      </c>
      <c r="AB18">
        <v>1</v>
      </c>
      <c r="AC18" s="6" t="s">
        <v>639</v>
      </c>
      <c r="AD18" s="6" t="s">
        <v>640</v>
      </c>
      <c r="AE18">
        <v>1</v>
      </c>
      <c r="AF18" s="6" t="s">
        <v>641</v>
      </c>
      <c r="AG18" s="6" t="s">
        <v>642</v>
      </c>
      <c r="AH18">
        <v>1</v>
      </c>
      <c r="AI18" s="6" t="s">
        <v>643</v>
      </c>
      <c r="AJ18" s="6" t="s">
        <v>644</v>
      </c>
      <c r="AK18" s="6" t="s">
        <v>645</v>
      </c>
      <c r="AL18" s="6" t="s">
        <v>646</v>
      </c>
      <c r="AM18" s="6" t="s">
        <v>647</v>
      </c>
      <c r="AN18" s="6" t="s">
        <v>648</v>
      </c>
      <c r="AO18" s="6" t="s">
        <v>649</v>
      </c>
      <c r="AP18" s="6" t="s">
        <v>650</v>
      </c>
      <c r="AQ18" s="6" t="s">
        <v>651</v>
      </c>
      <c r="AR18" s="6" t="s">
        <v>652</v>
      </c>
      <c r="AS18" s="6" t="s">
        <v>653</v>
      </c>
      <c r="AT18" s="6" t="s">
        <v>654</v>
      </c>
    </row>
    <row r="19" ht="13.5" spans="1:46">
      <c r="A19" t="s">
        <v>655</v>
      </c>
      <c r="B19">
        <v>1</v>
      </c>
      <c r="C19" t="s">
        <v>656</v>
      </c>
      <c r="D19" t="s">
        <v>657</v>
      </c>
      <c r="E19" t="s">
        <v>658</v>
      </c>
      <c r="F19" t="s">
        <v>659</v>
      </c>
      <c r="G19" t="s">
        <v>51</v>
      </c>
      <c r="H19" t="s">
        <v>660</v>
      </c>
      <c r="I19" t="s">
        <v>661</v>
      </c>
      <c r="J19" t="s">
        <v>662</v>
      </c>
      <c r="K19" t="s">
        <v>663</v>
      </c>
      <c r="L19" t="s">
        <v>664</v>
      </c>
      <c r="M19" t="s">
        <v>57</v>
      </c>
      <c r="N19" s="6" t="s">
        <v>665</v>
      </c>
      <c r="O19" s="6" t="s">
        <v>666</v>
      </c>
      <c r="P19" s="6" t="s">
        <v>667</v>
      </c>
      <c r="Q19">
        <v>27</v>
      </c>
      <c r="R19">
        <v>0.009138626</v>
      </c>
      <c r="S19" s="6" t="s">
        <v>668</v>
      </c>
      <c r="T19">
        <v>7</v>
      </c>
      <c r="U19" s="3">
        <v>45</v>
      </c>
      <c r="V19" s="4" t="str">
        <f>IF(U19&gt;=[1]评分标准!$B$5,[1]评分标准!$A$5,IF(U19&gt;=[1]评分标准!$B$6,[1]评分标准!$A$6,IF(U19&gt;=[1]评分标准!$B$7,[1]评分标准!$A$7,IF(U19&gt;=[1]评分标准!$B$8,[1]评分标准!$A$8,[1]评分标准!$A$9))))</f>
        <v>较低相似</v>
      </c>
      <c r="W19" s="6" t="s">
        <v>669</v>
      </c>
      <c r="X19" s="6" t="s">
        <v>670</v>
      </c>
      <c r="Y19" s="6" t="s">
        <v>671</v>
      </c>
      <c r="Z19" s="6" t="s">
        <v>672</v>
      </c>
      <c r="AA19" s="6" t="s">
        <v>673</v>
      </c>
      <c r="AB19" s="6" t="s">
        <v>674</v>
      </c>
      <c r="AC19" s="6" t="s">
        <v>675</v>
      </c>
      <c r="AD19" s="6" t="s">
        <v>676</v>
      </c>
      <c r="AE19" s="6" t="s">
        <v>677</v>
      </c>
      <c r="AF19" s="6" t="s">
        <v>678</v>
      </c>
      <c r="AG19" s="6" t="s">
        <v>679</v>
      </c>
      <c r="AH19" s="6" t="s">
        <v>680</v>
      </c>
      <c r="AI19" s="6" t="s">
        <v>681</v>
      </c>
      <c r="AJ19" s="6" t="s">
        <v>682</v>
      </c>
      <c r="AK19" s="6" t="s">
        <v>683</v>
      </c>
      <c r="AL19" s="6" t="s">
        <v>684</v>
      </c>
      <c r="AM19" s="6" t="s">
        <v>685</v>
      </c>
      <c r="AN19" s="6" t="s">
        <v>686</v>
      </c>
      <c r="AO19" s="6" t="s">
        <v>687</v>
      </c>
      <c r="AP19" s="6" t="s">
        <v>688</v>
      </c>
      <c r="AQ19" s="6" t="s">
        <v>689</v>
      </c>
      <c r="AR19" s="6" t="s">
        <v>690</v>
      </c>
      <c r="AS19" s="6" t="s">
        <v>691</v>
      </c>
      <c r="AT19" s="6" t="s">
        <v>692</v>
      </c>
    </row>
    <row r="20" ht="13.5" spans="1:46">
      <c r="A20" t="s">
        <v>693</v>
      </c>
      <c r="B20">
        <v>1</v>
      </c>
      <c r="C20" t="s">
        <v>694</v>
      </c>
      <c r="D20" t="s">
        <v>695</v>
      </c>
      <c r="E20" t="s">
        <v>696</v>
      </c>
      <c r="F20" t="s">
        <v>196</v>
      </c>
      <c r="G20" t="s">
        <v>697</v>
      </c>
      <c r="H20" t="s">
        <v>698</v>
      </c>
      <c r="I20" t="s">
        <v>699</v>
      </c>
      <c r="J20" t="s">
        <v>700</v>
      </c>
      <c r="K20" t="s">
        <v>701</v>
      </c>
      <c r="L20" t="s">
        <v>702</v>
      </c>
      <c r="M20" t="s">
        <v>410</v>
      </c>
      <c r="N20" s="6" t="s">
        <v>703</v>
      </c>
      <c r="O20" s="6" t="s">
        <v>704</v>
      </c>
      <c r="P20" s="6" t="s">
        <v>705</v>
      </c>
      <c r="Q20">
        <v>33</v>
      </c>
      <c r="R20">
        <v>0.021013394</v>
      </c>
      <c r="S20" s="6" t="s">
        <v>706</v>
      </c>
      <c r="T20">
        <v>2</v>
      </c>
      <c r="U20" s="3">
        <v>45</v>
      </c>
      <c r="V20" s="4" t="str">
        <f>IF(U20&gt;=[1]评分标准!$B$5,[1]评分标准!$A$5,IF(U20&gt;=[1]评分标准!$B$6,[1]评分标准!$A$6,IF(U20&gt;=[1]评分标准!$B$7,[1]评分标准!$A$7,IF(U20&gt;=[1]评分标准!$B$8,[1]评分标准!$A$8,[1]评分标准!$A$9))))</f>
        <v>较低相似</v>
      </c>
      <c r="W20" s="6" t="s">
        <v>707</v>
      </c>
      <c r="X20" s="6" t="s">
        <v>708</v>
      </c>
      <c r="Y20" s="6" t="s">
        <v>709</v>
      </c>
      <c r="Z20" s="6" t="s">
        <v>710</v>
      </c>
      <c r="AA20" s="6" t="s">
        <v>711</v>
      </c>
      <c r="AB20" s="6" t="s">
        <v>712</v>
      </c>
      <c r="AC20" s="6" t="s">
        <v>713</v>
      </c>
      <c r="AD20" s="6" t="s">
        <v>714</v>
      </c>
      <c r="AE20" s="6" t="s">
        <v>715</v>
      </c>
      <c r="AF20" s="6" t="s">
        <v>716</v>
      </c>
      <c r="AG20" s="6" t="s">
        <v>717</v>
      </c>
      <c r="AH20" s="6" t="s">
        <v>718</v>
      </c>
      <c r="AI20" s="6" t="s">
        <v>719</v>
      </c>
      <c r="AJ20" s="6" t="s">
        <v>720</v>
      </c>
      <c r="AK20" s="6" t="s">
        <v>721</v>
      </c>
      <c r="AL20" s="6" t="s">
        <v>722</v>
      </c>
      <c r="AM20" s="6" t="s">
        <v>723</v>
      </c>
      <c r="AN20" s="6" t="s">
        <v>724</v>
      </c>
      <c r="AO20" s="6" t="s">
        <v>725</v>
      </c>
      <c r="AP20" s="6" t="s">
        <v>726</v>
      </c>
      <c r="AQ20" s="6" t="s">
        <v>727</v>
      </c>
      <c r="AR20" s="6" t="s">
        <v>728</v>
      </c>
      <c r="AS20" s="6" t="s">
        <v>729</v>
      </c>
      <c r="AT20" s="6" t="s">
        <v>730</v>
      </c>
    </row>
    <row r="21" ht="13.5" spans="1:46">
      <c r="A21" t="s">
        <v>731</v>
      </c>
      <c r="B21">
        <v>1</v>
      </c>
      <c r="C21" t="s">
        <v>732</v>
      </c>
      <c r="D21" t="s">
        <v>733</v>
      </c>
      <c r="E21" t="s">
        <v>734</v>
      </c>
      <c r="F21" t="s">
        <v>50</v>
      </c>
      <c r="G21" t="s">
        <v>735</v>
      </c>
      <c r="H21" t="s">
        <v>163</v>
      </c>
      <c r="I21" t="s">
        <v>736</v>
      </c>
      <c r="J21" t="s">
        <v>737</v>
      </c>
      <c r="K21" t="s">
        <v>738</v>
      </c>
      <c r="L21" t="s">
        <v>739</v>
      </c>
      <c r="M21" t="s">
        <v>273</v>
      </c>
      <c r="N21" s="6" t="s">
        <v>740</v>
      </c>
      <c r="O21" s="6" t="s">
        <v>741</v>
      </c>
      <c r="P21" s="6" t="s">
        <v>742</v>
      </c>
      <c r="Q21">
        <v>9</v>
      </c>
      <c r="R21">
        <v>0.0021227929</v>
      </c>
      <c r="S21" s="6" t="s">
        <v>743</v>
      </c>
      <c r="T21">
        <v>6</v>
      </c>
      <c r="U21" s="3">
        <v>98</v>
      </c>
      <c r="V21" s="4" t="str">
        <f>IF(U21&gt;=[1]评分标准!$B$5,[1]评分标准!$A$5,IF(U21&gt;=[1]评分标准!$B$6,[1]评分标准!$A$6,IF(U21&gt;=[1]评分标准!$B$7,[1]评分标准!$A$7,IF(U21&gt;=[1]评分标准!$B$8,[1]评分标准!$A$8,[1]评分标准!$A$9))))</f>
        <v>高度相似</v>
      </c>
      <c r="W21" s="6" t="s">
        <v>744</v>
      </c>
      <c r="X21" s="6" t="s">
        <v>745</v>
      </c>
      <c r="Y21">
        <v>1</v>
      </c>
      <c r="Z21" s="6" t="s">
        <v>746</v>
      </c>
      <c r="AA21" s="6" t="s">
        <v>747</v>
      </c>
      <c r="AB21">
        <v>1</v>
      </c>
      <c r="AC21" s="6" t="s">
        <v>748</v>
      </c>
      <c r="AD21" s="6" t="s">
        <v>749</v>
      </c>
      <c r="AE21">
        <v>1</v>
      </c>
      <c r="AF21" s="6" t="s">
        <v>750</v>
      </c>
      <c r="AG21" s="6" t="s">
        <v>751</v>
      </c>
      <c r="AH21">
        <v>1</v>
      </c>
      <c r="AI21" s="6" t="s">
        <v>752</v>
      </c>
      <c r="AJ21" s="6" t="s">
        <v>753</v>
      </c>
      <c r="AK21" s="6" t="s">
        <v>754</v>
      </c>
      <c r="AL21" s="6" t="s">
        <v>755</v>
      </c>
      <c r="AM21" s="6" t="s">
        <v>756</v>
      </c>
      <c r="AN21" s="6" t="s">
        <v>757</v>
      </c>
      <c r="AO21" s="6" t="s">
        <v>758</v>
      </c>
      <c r="AP21" s="6" t="s">
        <v>759</v>
      </c>
      <c r="AQ21" s="6" t="s">
        <v>760</v>
      </c>
      <c r="AR21" s="6" t="s">
        <v>761</v>
      </c>
      <c r="AS21" s="6" t="s">
        <v>762</v>
      </c>
      <c r="AT21" s="6" t="s">
        <v>763</v>
      </c>
    </row>
    <row r="22" ht="13.5" spans="1:46">
      <c r="A22" t="s">
        <v>764</v>
      </c>
      <c r="B22">
        <v>1</v>
      </c>
      <c r="C22" t="s">
        <v>765</v>
      </c>
      <c r="D22" t="s">
        <v>766</v>
      </c>
      <c r="E22" t="s">
        <v>767</v>
      </c>
      <c r="F22" t="s">
        <v>123</v>
      </c>
      <c r="G22" t="s">
        <v>768</v>
      </c>
      <c r="H22" t="s">
        <v>769</v>
      </c>
      <c r="I22" t="s">
        <v>53</v>
      </c>
      <c r="J22" t="s">
        <v>770</v>
      </c>
      <c r="K22" t="s">
        <v>771</v>
      </c>
      <c r="L22" t="s">
        <v>772</v>
      </c>
      <c r="M22" t="s">
        <v>236</v>
      </c>
      <c r="N22" s="6" t="s">
        <v>773</v>
      </c>
      <c r="O22" s="6" t="s">
        <v>774</v>
      </c>
      <c r="P22" s="6" t="s">
        <v>775</v>
      </c>
      <c r="Q22">
        <v>34</v>
      </c>
      <c r="R22">
        <v>0.0089972345</v>
      </c>
      <c r="S22" s="6" t="s">
        <v>776</v>
      </c>
      <c r="T22">
        <v>6</v>
      </c>
      <c r="U22" s="3">
        <v>98</v>
      </c>
      <c r="V22" s="4" t="str">
        <f>IF(U22&gt;=[1]评分标准!$B$5,[1]评分标准!$A$5,IF(U22&gt;=[1]评分标准!$B$6,[1]评分标准!$A$6,IF(U22&gt;=[1]评分标准!$B$7,[1]评分标准!$A$7,IF(U22&gt;=[1]评分标准!$B$8,[1]评分标准!$A$8,[1]评分标准!$A$9))))</f>
        <v>高度相似</v>
      </c>
      <c r="W22" s="6" t="s">
        <v>777</v>
      </c>
      <c r="X22" s="6" t="s">
        <v>778</v>
      </c>
      <c r="Y22">
        <v>1</v>
      </c>
      <c r="Z22" s="6" t="s">
        <v>779</v>
      </c>
      <c r="AA22" s="6" t="s">
        <v>780</v>
      </c>
      <c r="AB22">
        <v>1</v>
      </c>
      <c r="AC22" s="6" t="s">
        <v>781</v>
      </c>
      <c r="AD22" s="6" t="s">
        <v>782</v>
      </c>
      <c r="AE22">
        <v>1</v>
      </c>
      <c r="AF22" s="6" t="s">
        <v>783</v>
      </c>
      <c r="AG22" s="6" t="s">
        <v>784</v>
      </c>
      <c r="AH22">
        <v>1</v>
      </c>
      <c r="AI22" s="6" t="s">
        <v>785</v>
      </c>
      <c r="AJ22" s="6" t="s">
        <v>786</v>
      </c>
      <c r="AK22" s="6" t="s">
        <v>787</v>
      </c>
      <c r="AL22" s="6" t="s">
        <v>788</v>
      </c>
      <c r="AM22" s="6" t="s">
        <v>789</v>
      </c>
      <c r="AN22" s="6" t="s">
        <v>790</v>
      </c>
      <c r="AO22" s="6" t="s">
        <v>791</v>
      </c>
      <c r="AP22" s="6" t="s">
        <v>792</v>
      </c>
      <c r="AQ22" s="6" t="s">
        <v>793</v>
      </c>
      <c r="AR22" s="6" t="s">
        <v>794</v>
      </c>
      <c r="AS22" s="6" t="s">
        <v>795</v>
      </c>
      <c r="AT22" s="6" t="s">
        <v>796</v>
      </c>
    </row>
    <row r="23" ht="13.5" spans="1:46">
      <c r="A23" t="s">
        <v>797</v>
      </c>
      <c r="B23">
        <v>1</v>
      </c>
      <c r="C23" t="s">
        <v>798</v>
      </c>
      <c r="D23" t="s">
        <v>799</v>
      </c>
      <c r="E23" t="s">
        <v>800</v>
      </c>
      <c r="F23" t="s">
        <v>50</v>
      </c>
      <c r="G23" t="s">
        <v>801</v>
      </c>
      <c r="H23" t="s">
        <v>802</v>
      </c>
      <c r="I23" t="s">
        <v>53</v>
      </c>
      <c r="J23" t="s">
        <v>803</v>
      </c>
      <c r="K23" t="s">
        <v>804</v>
      </c>
      <c r="L23" t="s">
        <v>805</v>
      </c>
      <c r="M23" t="s">
        <v>236</v>
      </c>
      <c r="N23" s="6" t="s">
        <v>806</v>
      </c>
      <c r="O23" s="6" t="s">
        <v>807</v>
      </c>
      <c r="P23" s="6" t="s">
        <v>808</v>
      </c>
      <c r="Q23">
        <v>30</v>
      </c>
      <c r="R23">
        <v>0.0022188523</v>
      </c>
      <c r="S23" s="6" t="s">
        <v>809</v>
      </c>
      <c r="T23">
        <v>3</v>
      </c>
      <c r="U23" s="3">
        <v>20</v>
      </c>
      <c r="V23" s="4" t="str">
        <f>IF(U23&gt;=[1]评分标准!$B$5,[1]评分标准!$A$5,IF(U23&gt;=[1]评分标准!$B$6,[1]评分标准!$A$6,IF(U23&gt;=[1]评分标准!$B$7,[1]评分标准!$A$7,IF(U23&gt;=[1]评分标准!$B$8,[1]评分标准!$A$8,[1]评分标准!$A$9))))</f>
        <v>不相似</v>
      </c>
      <c r="W23" s="6" t="s">
        <v>810</v>
      </c>
      <c r="X23" s="6" t="s">
        <v>811</v>
      </c>
      <c r="Y23" s="6" t="s">
        <v>812</v>
      </c>
      <c r="Z23" s="6" t="s">
        <v>813</v>
      </c>
      <c r="AA23" s="6" t="s">
        <v>814</v>
      </c>
      <c r="AB23" s="6" t="s">
        <v>815</v>
      </c>
      <c r="AC23" s="6" t="s">
        <v>816</v>
      </c>
      <c r="AD23" s="6" t="s">
        <v>817</v>
      </c>
      <c r="AE23" s="6" t="s">
        <v>818</v>
      </c>
      <c r="AF23" s="6" t="s">
        <v>819</v>
      </c>
      <c r="AG23" s="6" t="s">
        <v>820</v>
      </c>
      <c r="AH23" s="6" t="s">
        <v>821</v>
      </c>
      <c r="AI23" s="6" t="s">
        <v>822</v>
      </c>
      <c r="AJ23" s="6" t="s">
        <v>823</v>
      </c>
      <c r="AK23" s="6" t="s">
        <v>824</v>
      </c>
      <c r="AL23" s="6" t="s">
        <v>825</v>
      </c>
      <c r="AM23" s="6" t="s">
        <v>826</v>
      </c>
      <c r="AN23" s="6" t="s">
        <v>827</v>
      </c>
      <c r="AO23" s="6" t="s">
        <v>828</v>
      </c>
      <c r="AP23" s="6" t="s">
        <v>829</v>
      </c>
      <c r="AQ23" s="6" t="s">
        <v>830</v>
      </c>
      <c r="AR23" s="6" t="s">
        <v>831</v>
      </c>
      <c r="AS23" s="6" t="s">
        <v>832</v>
      </c>
      <c r="AT23" s="6" t="s">
        <v>833</v>
      </c>
    </row>
    <row r="24" ht="13.5" spans="1:46">
      <c r="A24" t="s">
        <v>834</v>
      </c>
      <c r="B24">
        <v>1</v>
      </c>
      <c r="C24" t="s">
        <v>835</v>
      </c>
      <c r="D24" t="s">
        <v>836</v>
      </c>
      <c r="E24" t="s">
        <v>837</v>
      </c>
      <c r="F24" t="s">
        <v>50</v>
      </c>
      <c r="G24" t="s">
        <v>838</v>
      </c>
      <c r="H24" t="s">
        <v>839</v>
      </c>
      <c r="I24" t="s">
        <v>53</v>
      </c>
      <c r="J24" t="s">
        <v>840</v>
      </c>
      <c r="K24" t="s">
        <v>841</v>
      </c>
      <c r="L24" t="s">
        <v>842</v>
      </c>
      <c r="M24" t="s">
        <v>843</v>
      </c>
      <c r="N24" s="6" t="s">
        <v>844</v>
      </c>
      <c r="O24" s="6" t="s">
        <v>845</v>
      </c>
      <c r="P24">
        <v>-154.358811892711</v>
      </c>
      <c r="Q24">
        <v>7</v>
      </c>
      <c r="R24">
        <v>0.0022375134</v>
      </c>
      <c r="S24" s="6" t="s">
        <v>846</v>
      </c>
      <c r="T24">
        <v>0</v>
      </c>
      <c r="U24" s="3">
        <v>25</v>
      </c>
      <c r="V24" s="4" t="str">
        <f>IF(U24&gt;=[1]评分标准!$B$5,[1]评分标准!$A$5,IF(U24&gt;=[1]评分标准!$B$6,[1]评分标准!$A$6,IF(U24&gt;=[1]评分标准!$B$7,[1]评分标准!$A$7,IF(U24&gt;=[1]评分标准!$B$8,[1]评分标准!$A$8,[1]评分标准!$A$9))))</f>
        <v>不相似</v>
      </c>
      <c r="W24" s="6" t="s">
        <v>847</v>
      </c>
      <c r="X24" s="6" t="s">
        <v>848</v>
      </c>
      <c r="Y24">
        <v>-19.4593779871371</v>
      </c>
      <c r="Z24" s="6" t="s">
        <v>849</v>
      </c>
      <c r="AA24" s="6" t="s">
        <v>850</v>
      </c>
      <c r="AB24">
        <v>-42.9318514806595</v>
      </c>
      <c r="AC24" s="6" t="s">
        <v>851</v>
      </c>
      <c r="AD24" s="6" t="s">
        <v>852</v>
      </c>
      <c r="AE24">
        <v>-57.8409912259214</v>
      </c>
      <c r="AF24" s="6" t="s">
        <v>853</v>
      </c>
      <c r="AG24" s="6" t="s">
        <v>854</v>
      </c>
      <c r="AH24">
        <v>-49.6873449984382</v>
      </c>
      <c r="AI24" s="6" t="s">
        <v>855</v>
      </c>
      <c r="AJ24" s="6" t="s">
        <v>856</v>
      </c>
      <c r="AK24">
        <v>-149.542039479</v>
      </c>
      <c r="AL24" s="6" t="s">
        <v>857</v>
      </c>
      <c r="AM24" s="6" t="s">
        <v>858</v>
      </c>
      <c r="AN24">
        <v>-105.00928164518</v>
      </c>
      <c r="AO24" s="6" t="s">
        <v>859</v>
      </c>
      <c r="AP24" s="6" t="s">
        <v>860</v>
      </c>
      <c r="AQ24">
        <v>-59.2020709376348</v>
      </c>
      <c r="AR24" s="6" t="s">
        <v>861</v>
      </c>
      <c r="AS24" s="6" t="s">
        <v>862</v>
      </c>
      <c r="AT24">
        <v>-86.0661362684618</v>
      </c>
    </row>
    <row r="25" ht="13.5" spans="1:46">
      <c r="A25" t="s">
        <v>863</v>
      </c>
      <c r="B25">
        <v>1</v>
      </c>
      <c r="C25" t="s">
        <v>864</v>
      </c>
      <c r="D25" t="s">
        <v>865</v>
      </c>
      <c r="E25" t="e">
        <f>-E_n/(p_d*COS(theta))</f>
        <v>#NAME?</v>
      </c>
      <c r="F25" t="s">
        <v>196</v>
      </c>
      <c r="G25" t="s">
        <v>269</v>
      </c>
      <c r="H25" t="s">
        <v>866</v>
      </c>
      <c r="I25" t="s">
        <v>126</v>
      </c>
      <c r="J25" t="e">
        <f>-E_n/(p_d*COS(theta))</f>
        <v>#NAME?</v>
      </c>
      <c r="K25" t="s">
        <v>867</v>
      </c>
      <c r="L25" t="s">
        <v>868</v>
      </c>
      <c r="M25" t="s">
        <v>273</v>
      </c>
      <c r="N25" s="6" t="s">
        <v>869</v>
      </c>
      <c r="O25" s="6" t="s">
        <v>870</v>
      </c>
      <c r="P25" s="6" t="s">
        <v>871</v>
      </c>
      <c r="Q25">
        <v>23</v>
      </c>
      <c r="R25">
        <v>0.009165161</v>
      </c>
      <c r="S25" s="6" t="s">
        <v>872</v>
      </c>
      <c r="T25">
        <v>6</v>
      </c>
      <c r="U25" s="3">
        <v>98</v>
      </c>
      <c r="V25" s="4" t="str">
        <f>IF(U25&gt;=[1]评分标准!$B$5,[1]评分标准!$A$5,IF(U25&gt;=[1]评分标准!$B$6,[1]评分标准!$A$6,IF(U25&gt;=[1]评分标准!$B$7,[1]评分标准!$A$7,IF(U25&gt;=[1]评分标准!$B$8,[1]评分标准!$A$8,[1]评分标准!$A$9))))</f>
        <v>高度相似</v>
      </c>
      <c r="W25" s="6" t="s">
        <v>873</v>
      </c>
      <c r="X25" s="6" t="s">
        <v>874</v>
      </c>
      <c r="Y25">
        <v>1</v>
      </c>
      <c r="Z25" s="6" t="s">
        <v>875</v>
      </c>
      <c r="AA25" s="6" t="s">
        <v>876</v>
      </c>
      <c r="AB25">
        <v>1</v>
      </c>
      <c r="AC25" s="6" t="s">
        <v>877</v>
      </c>
      <c r="AD25" s="6" t="s">
        <v>878</v>
      </c>
      <c r="AE25">
        <v>1</v>
      </c>
      <c r="AF25" s="6" t="s">
        <v>879</v>
      </c>
      <c r="AG25" s="6" t="s">
        <v>880</v>
      </c>
      <c r="AH25" s="6" t="s">
        <v>881</v>
      </c>
      <c r="AI25" s="6" t="s">
        <v>882</v>
      </c>
      <c r="AJ25" s="6" t="s">
        <v>883</v>
      </c>
      <c r="AK25" s="6" t="s">
        <v>884</v>
      </c>
      <c r="AL25" s="6" t="s">
        <v>885</v>
      </c>
      <c r="AM25" s="6" t="s">
        <v>886</v>
      </c>
      <c r="AN25" s="6" t="s">
        <v>887</v>
      </c>
      <c r="AO25" s="6" t="s">
        <v>888</v>
      </c>
      <c r="AP25" s="6" t="s">
        <v>889</v>
      </c>
      <c r="AQ25" s="6" t="s">
        <v>890</v>
      </c>
      <c r="AR25" s="6" t="s">
        <v>891</v>
      </c>
      <c r="AS25" s="6" t="s">
        <v>892</v>
      </c>
      <c r="AT25" s="6" t="s">
        <v>893</v>
      </c>
    </row>
    <row r="26" ht="13.5" spans="1:46">
      <c r="A26" t="s">
        <v>894</v>
      </c>
      <c r="B26">
        <v>1</v>
      </c>
      <c r="C26" t="s">
        <v>895</v>
      </c>
      <c r="D26" t="s">
        <v>896</v>
      </c>
      <c r="E26" t="e">
        <f>-LOG((_xleta.T-Ta)/(T0-Ta))/k</f>
        <v>#VALUE!</v>
      </c>
      <c r="F26" t="s">
        <v>897</v>
      </c>
      <c r="G26" t="s">
        <v>659</v>
      </c>
      <c r="H26" t="s">
        <v>898</v>
      </c>
      <c r="I26" t="s">
        <v>126</v>
      </c>
      <c r="J26" t="e">
        <f>-LOG((_xleta.T-Ta)/(T0-Ta))/k</f>
        <v>#VALUE!</v>
      </c>
      <c r="K26" t="s">
        <v>899</v>
      </c>
      <c r="L26" t="s">
        <v>900</v>
      </c>
      <c r="M26" t="s">
        <v>410</v>
      </c>
      <c r="N26" s="6" t="s">
        <v>901</v>
      </c>
      <c r="O26" s="6" t="s">
        <v>902</v>
      </c>
      <c r="P26" s="6" t="s">
        <v>903</v>
      </c>
      <c r="Q26">
        <v>24</v>
      </c>
      <c r="R26">
        <v>0.025593244</v>
      </c>
      <c r="S26" s="6" t="s">
        <v>904</v>
      </c>
      <c r="T26">
        <v>7</v>
      </c>
      <c r="U26" s="3">
        <v>35</v>
      </c>
      <c r="V26" s="4" t="str">
        <f>IF(U26&gt;=[1]评分标准!$B$5,[1]评分标准!$A$5,IF(U26&gt;=[1]评分标准!$B$6,[1]评分标准!$A$6,IF(U26&gt;=[1]评分标准!$B$7,[1]评分标准!$A$7,IF(U26&gt;=[1]评分标准!$B$8,[1]评分标准!$A$8,[1]评分标准!$A$9))))</f>
        <v>不相似</v>
      </c>
      <c r="W26" s="6" t="s">
        <v>905</v>
      </c>
      <c r="X26" s="6" t="s">
        <v>906</v>
      </c>
      <c r="Y26" s="6" t="s">
        <v>907</v>
      </c>
      <c r="Z26" s="6" t="s">
        <v>908</v>
      </c>
      <c r="AA26" s="6" t="s">
        <v>909</v>
      </c>
      <c r="AB26" s="6" t="s">
        <v>910</v>
      </c>
      <c r="AC26" s="6" t="s">
        <v>911</v>
      </c>
      <c r="AD26" s="6" t="s">
        <v>912</v>
      </c>
      <c r="AE26" s="6" t="s">
        <v>913</v>
      </c>
      <c r="AF26" s="6" t="s">
        <v>914</v>
      </c>
      <c r="AG26" s="6" t="s">
        <v>915</v>
      </c>
      <c r="AH26" s="6" t="s">
        <v>916</v>
      </c>
      <c r="AI26" s="6" t="s">
        <v>917</v>
      </c>
      <c r="AJ26" s="6" t="s">
        <v>918</v>
      </c>
      <c r="AK26" s="6" t="s">
        <v>919</v>
      </c>
      <c r="AL26" s="6" t="s">
        <v>920</v>
      </c>
      <c r="AM26" s="6" t="s">
        <v>921</v>
      </c>
      <c r="AN26" s="6" t="s">
        <v>922</v>
      </c>
      <c r="AO26" s="6" t="s">
        <v>923</v>
      </c>
      <c r="AP26" s="6" t="s">
        <v>924</v>
      </c>
      <c r="AQ26" s="6" t="s">
        <v>925</v>
      </c>
      <c r="AR26" s="6" t="s">
        <v>926</v>
      </c>
      <c r="AS26" s="6" t="s">
        <v>927</v>
      </c>
      <c r="AT26" s="6" t="s">
        <v>928</v>
      </c>
    </row>
    <row r="27" ht="13.5" spans="1:46">
      <c r="A27" t="s">
        <v>929</v>
      </c>
      <c r="B27">
        <v>1</v>
      </c>
      <c r="C27" t="s">
        <v>930</v>
      </c>
      <c r="D27" t="s">
        <v>931</v>
      </c>
      <c r="E27" t="s">
        <v>932</v>
      </c>
      <c r="F27" t="s">
        <v>933</v>
      </c>
      <c r="G27" t="s">
        <v>268</v>
      </c>
      <c r="H27" t="s">
        <v>934</v>
      </c>
      <c r="I27" t="s">
        <v>935</v>
      </c>
      <c r="J27" t="s">
        <v>936</v>
      </c>
      <c r="K27" t="s">
        <v>937</v>
      </c>
      <c r="L27" t="s">
        <v>938</v>
      </c>
      <c r="M27" t="s">
        <v>410</v>
      </c>
      <c r="N27" s="6" t="s">
        <v>939</v>
      </c>
      <c r="O27" s="6" t="s">
        <v>940</v>
      </c>
      <c r="P27" s="6" t="s">
        <v>941</v>
      </c>
      <c r="Q27">
        <v>28</v>
      </c>
      <c r="R27">
        <v>0.0013848414</v>
      </c>
      <c r="S27" s="6" t="s">
        <v>942</v>
      </c>
      <c r="T27">
        <v>4</v>
      </c>
      <c r="U27" s="3">
        <v>98</v>
      </c>
      <c r="V27" s="4" t="str">
        <f>IF(U27&gt;=[1]评分标准!$B$5,[1]评分标准!$A$5,IF(U27&gt;=[1]评分标准!$B$6,[1]评分标准!$A$6,IF(U27&gt;=[1]评分标准!$B$7,[1]评分标准!$A$7,IF(U27&gt;=[1]评分标准!$B$8,[1]评分标准!$A$8,[1]评分标准!$A$9))))</f>
        <v>高度相似</v>
      </c>
      <c r="W27" s="6" t="s">
        <v>943</v>
      </c>
      <c r="X27" s="6" t="s">
        <v>944</v>
      </c>
      <c r="Y27" s="6" t="s">
        <v>945</v>
      </c>
      <c r="Z27" s="6" t="s">
        <v>946</v>
      </c>
      <c r="AA27" s="6" t="s">
        <v>947</v>
      </c>
      <c r="AB27" s="6" t="s">
        <v>948</v>
      </c>
      <c r="AC27" s="6" t="s">
        <v>949</v>
      </c>
      <c r="AD27" s="6" t="s">
        <v>950</v>
      </c>
      <c r="AE27" s="6" t="s">
        <v>951</v>
      </c>
      <c r="AF27" s="6" t="s">
        <v>952</v>
      </c>
      <c r="AG27" s="6" t="s">
        <v>953</v>
      </c>
      <c r="AH27" s="6" t="s">
        <v>954</v>
      </c>
      <c r="AI27" s="6" t="s">
        <v>955</v>
      </c>
      <c r="AJ27" s="6" t="s">
        <v>956</v>
      </c>
      <c r="AK27" s="6" t="s">
        <v>957</v>
      </c>
      <c r="AL27" s="6" t="s">
        <v>958</v>
      </c>
      <c r="AM27" s="6" t="s">
        <v>959</v>
      </c>
      <c r="AN27" s="6" t="s">
        <v>960</v>
      </c>
      <c r="AO27" s="6" t="s">
        <v>961</v>
      </c>
      <c r="AP27" s="6" t="s">
        <v>962</v>
      </c>
      <c r="AQ27" s="6" t="s">
        <v>963</v>
      </c>
      <c r="AR27" s="6" t="s">
        <v>964</v>
      </c>
      <c r="AS27" s="6" t="s">
        <v>965</v>
      </c>
      <c r="AT27" s="6" t="s">
        <v>966</v>
      </c>
    </row>
    <row r="28" ht="13.5" spans="1:46">
      <c r="A28" t="s">
        <v>967</v>
      </c>
      <c r="B28">
        <v>1</v>
      </c>
      <c r="C28" t="s">
        <v>968</v>
      </c>
      <c r="D28" t="s">
        <v>969</v>
      </c>
      <c r="E28" t="s">
        <v>970</v>
      </c>
      <c r="F28" t="s">
        <v>161</v>
      </c>
      <c r="G28" t="s">
        <v>659</v>
      </c>
      <c r="H28" t="s">
        <v>971</v>
      </c>
      <c r="I28" t="s">
        <v>972</v>
      </c>
      <c r="J28" t="s">
        <v>973</v>
      </c>
      <c r="K28" t="s">
        <v>974</v>
      </c>
      <c r="L28" t="s">
        <v>975</v>
      </c>
      <c r="M28" t="s">
        <v>236</v>
      </c>
      <c r="N28" s="6" t="s">
        <v>976</v>
      </c>
      <c r="O28" s="6" t="s">
        <v>977</v>
      </c>
      <c r="P28" s="6" t="s">
        <v>978</v>
      </c>
      <c r="Q28">
        <v>22</v>
      </c>
      <c r="R28">
        <v>0.0041317064</v>
      </c>
      <c r="S28" s="6" t="s">
        <v>979</v>
      </c>
      <c r="T28">
        <v>3</v>
      </c>
      <c r="U28" s="3">
        <v>98</v>
      </c>
      <c r="V28" s="4" t="str">
        <f>IF(U28&gt;=[1]评分标准!$B$5,[1]评分标准!$A$5,IF(U28&gt;=[1]评分标准!$B$6,[1]评分标准!$A$6,IF(U28&gt;=[1]评分标准!$B$7,[1]评分标准!$A$7,IF(U28&gt;=[1]评分标准!$B$8,[1]评分标准!$A$8,[1]评分标准!$A$9))))</f>
        <v>高度相似</v>
      </c>
      <c r="W28" s="6" t="s">
        <v>980</v>
      </c>
      <c r="X28" s="6" t="s">
        <v>981</v>
      </c>
      <c r="Y28">
        <v>1</v>
      </c>
      <c r="Z28" s="6" t="s">
        <v>982</v>
      </c>
      <c r="AA28" s="6" t="s">
        <v>983</v>
      </c>
      <c r="AB28">
        <v>1</v>
      </c>
      <c r="AC28" s="6" t="s">
        <v>984</v>
      </c>
      <c r="AD28" s="6" t="s">
        <v>985</v>
      </c>
      <c r="AE28">
        <v>1</v>
      </c>
      <c r="AF28" s="6" t="s">
        <v>986</v>
      </c>
      <c r="AG28" s="6" t="s">
        <v>987</v>
      </c>
      <c r="AH28">
        <v>1</v>
      </c>
      <c r="AI28" s="6" t="s">
        <v>988</v>
      </c>
      <c r="AJ28" s="6" t="s">
        <v>989</v>
      </c>
      <c r="AK28" s="6" t="s">
        <v>990</v>
      </c>
      <c r="AL28" s="6" t="s">
        <v>991</v>
      </c>
      <c r="AM28" s="6" t="s">
        <v>992</v>
      </c>
      <c r="AN28" s="6" t="s">
        <v>993</v>
      </c>
      <c r="AO28" s="6" t="s">
        <v>994</v>
      </c>
      <c r="AP28" s="6" t="s">
        <v>995</v>
      </c>
      <c r="AQ28" s="6" t="s">
        <v>996</v>
      </c>
      <c r="AR28" s="6" t="s">
        <v>997</v>
      </c>
      <c r="AS28" s="6" t="s">
        <v>998</v>
      </c>
      <c r="AT28" s="6" t="s">
        <v>999</v>
      </c>
    </row>
    <row r="29" ht="13.5" spans="1:46">
      <c r="A29" t="s">
        <v>1000</v>
      </c>
      <c r="B29">
        <v>1</v>
      </c>
      <c r="C29" t="s">
        <v>1001</v>
      </c>
      <c r="D29" t="s">
        <v>1002</v>
      </c>
      <c r="E29" t="s">
        <v>1003</v>
      </c>
      <c r="F29" t="s">
        <v>897</v>
      </c>
      <c r="G29" t="s">
        <v>123</v>
      </c>
      <c r="H29" t="s">
        <v>1004</v>
      </c>
      <c r="I29" t="s">
        <v>126</v>
      </c>
      <c r="J29" t="s">
        <v>1005</v>
      </c>
      <c r="K29" t="s">
        <v>1006</v>
      </c>
      <c r="L29" t="s">
        <v>1007</v>
      </c>
      <c r="M29" t="s">
        <v>410</v>
      </c>
      <c r="N29" s="6" t="s">
        <v>1008</v>
      </c>
      <c r="O29" s="6" t="s">
        <v>1009</v>
      </c>
      <c r="P29" s="6" t="s">
        <v>1010</v>
      </c>
      <c r="Q29">
        <v>34</v>
      </c>
      <c r="R29">
        <v>0.009284448</v>
      </c>
      <c r="S29" s="6" t="s">
        <v>1011</v>
      </c>
      <c r="T29">
        <v>6</v>
      </c>
      <c r="U29" s="3">
        <v>98</v>
      </c>
      <c r="V29" s="4" t="str">
        <f>IF(U29&gt;=[1]评分标准!$B$5,[1]评分标准!$A$5,IF(U29&gt;=[1]评分标准!$B$6,[1]评分标准!$A$6,IF(U29&gt;=[1]评分标准!$B$7,[1]评分标准!$A$7,IF(U29&gt;=[1]评分标准!$B$8,[1]评分标准!$A$8,[1]评分标准!$A$9))))</f>
        <v>高度相似</v>
      </c>
      <c r="W29" s="6" t="s">
        <v>1012</v>
      </c>
      <c r="X29" s="6" t="s">
        <v>1013</v>
      </c>
      <c r="Y29">
        <v>1</v>
      </c>
      <c r="Z29" s="6" t="s">
        <v>1014</v>
      </c>
      <c r="AA29" s="6" t="s">
        <v>1015</v>
      </c>
      <c r="AB29">
        <v>1</v>
      </c>
      <c r="AC29" s="6" t="s">
        <v>1016</v>
      </c>
      <c r="AD29" s="6" t="s">
        <v>1017</v>
      </c>
      <c r="AE29" s="6" t="s">
        <v>1018</v>
      </c>
      <c r="AF29" s="6" t="s">
        <v>1019</v>
      </c>
      <c r="AG29" s="6" t="s">
        <v>1020</v>
      </c>
      <c r="AH29">
        <v>1</v>
      </c>
      <c r="AI29" s="6" t="s">
        <v>1021</v>
      </c>
      <c r="AJ29" s="6" t="s">
        <v>1022</v>
      </c>
      <c r="AK29" s="6" t="s">
        <v>1023</v>
      </c>
      <c r="AL29" s="6" t="s">
        <v>1024</v>
      </c>
      <c r="AM29" s="6" t="s">
        <v>1025</v>
      </c>
      <c r="AN29" s="6" t="s">
        <v>1026</v>
      </c>
      <c r="AO29" s="6" t="s">
        <v>1027</v>
      </c>
      <c r="AP29" s="6" t="s">
        <v>1028</v>
      </c>
      <c r="AQ29" s="6" t="s">
        <v>1029</v>
      </c>
      <c r="AR29" s="6" t="s">
        <v>1030</v>
      </c>
      <c r="AS29" s="6" t="s">
        <v>1031</v>
      </c>
      <c r="AT29" s="6" t="s">
        <v>1032</v>
      </c>
    </row>
    <row r="30" ht="13.5" spans="1:46">
      <c r="A30" t="s">
        <v>1033</v>
      </c>
      <c r="B30">
        <v>1</v>
      </c>
      <c r="C30" t="s">
        <v>1034</v>
      </c>
      <c r="D30" t="s">
        <v>1035</v>
      </c>
      <c r="E30" t="e">
        <f>-tau*LOG((v-v_inf)/(v0-v_inf))</f>
        <v>#NAME?</v>
      </c>
      <c r="F30" t="s">
        <v>897</v>
      </c>
      <c r="G30" t="s">
        <v>50</v>
      </c>
      <c r="H30" t="s">
        <v>1036</v>
      </c>
      <c r="I30" t="s">
        <v>126</v>
      </c>
      <c r="J30" t="e">
        <f>-tau*LOG((v-v_inf)/(v0-v_inf))</f>
        <v>#NAME?</v>
      </c>
      <c r="K30" t="s">
        <v>1037</v>
      </c>
      <c r="L30" t="s">
        <v>1038</v>
      </c>
      <c r="M30" t="s">
        <v>1039</v>
      </c>
      <c r="N30" s="6" t="s">
        <v>1040</v>
      </c>
      <c r="O30" s="6" t="s">
        <v>1041</v>
      </c>
      <c r="P30" s="6" t="s">
        <v>1042</v>
      </c>
      <c r="Q30">
        <v>30</v>
      </c>
      <c r="R30">
        <v>0.0057848524</v>
      </c>
      <c r="S30" s="6" t="s">
        <v>1043</v>
      </c>
      <c r="T30">
        <v>7</v>
      </c>
      <c r="U30" s="3">
        <v>98</v>
      </c>
      <c r="V30" s="4" t="str">
        <f>IF(U30&gt;=[1]评分标准!$B$5,[1]评分标准!$A$5,IF(U30&gt;=[1]评分标准!$B$6,[1]评分标准!$A$6,IF(U30&gt;=[1]评分标准!$B$7,[1]评分标准!$A$7,IF(U30&gt;=[1]评分标准!$B$8,[1]评分标准!$A$8,[1]评分标准!$A$9))))</f>
        <v>高度相似</v>
      </c>
      <c r="W30" s="6" t="s">
        <v>1044</v>
      </c>
      <c r="X30" s="6" t="s">
        <v>1045</v>
      </c>
      <c r="Y30" s="6" t="s">
        <v>1046</v>
      </c>
      <c r="Z30" s="6" t="s">
        <v>1047</v>
      </c>
      <c r="AA30" s="6" t="s">
        <v>1048</v>
      </c>
      <c r="AB30" s="6" t="s">
        <v>1049</v>
      </c>
      <c r="AC30" s="6" t="s">
        <v>1050</v>
      </c>
      <c r="AD30" s="6" t="s">
        <v>1051</v>
      </c>
      <c r="AE30" s="6" t="s">
        <v>1052</v>
      </c>
      <c r="AF30" s="6" t="s">
        <v>1053</v>
      </c>
      <c r="AG30" s="6" t="s">
        <v>1054</v>
      </c>
      <c r="AH30">
        <v>1</v>
      </c>
      <c r="AI30" s="6" t="s">
        <v>1055</v>
      </c>
      <c r="AJ30" s="6" t="s">
        <v>1056</v>
      </c>
      <c r="AK30" s="6" t="s">
        <v>1057</v>
      </c>
      <c r="AL30" s="6" t="s">
        <v>1058</v>
      </c>
      <c r="AM30" s="6" t="s">
        <v>1059</v>
      </c>
      <c r="AN30" s="6" t="s">
        <v>1060</v>
      </c>
      <c r="AO30" s="6" t="s">
        <v>1061</v>
      </c>
      <c r="AP30" s="6" t="s">
        <v>1062</v>
      </c>
      <c r="AQ30" s="6" t="s">
        <v>1063</v>
      </c>
      <c r="AR30" s="6" t="s">
        <v>1064</v>
      </c>
      <c r="AS30" s="6" t="s">
        <v>1065</v>
      </c>
      <c r="AT30" s="6" t="s">
        <v>1066</v>
      </c>
    </row>
    <row r="31" ht="13.5" spans="1:46">
      <c r="A31" t="s">
        <v>1067</v>
      </c>
      <c r="B31">
        <v>1</v>
      </c>
      <c r="C31" t="s">
        <v>1068</v>
      </c>
      <c r="D31" t="s">
        <v>1069</v>
      </c>
      <c r="E31" t="s">
        <v>1070</v>
      </c>
      <c r="F31" t="s">
        <v>897</v>
      </c>
      <c r="G31" t="s">
        <v>50</v>
      </c>
      <c r="H31" t="s">
        <v>1071</v>
      </c>
      <c r="I31" t="s">
        <v>1072</v>
      </c>
      <c r="J31" t="s">
        <v>1073</v>
      </c>
      <c r="K31" t="s">
        <v>1074</v>
      </c>
      <c r="L31" t="s">
        <v>1075</v>
      </c>
      <c r="M31" t="s">
        <v>236</v>
      </c>
      <c r="N31" s="6" t="s">
        <v>1076</v>
      </c>
      <c r="O31" s="6" t="s">
        <v>1077</v>
      </c>
      <c r="P31" s="6" t="s">
        <v>1078</v>
      </c>
      <c r="Q31">
        <v>25</v>
      </c>
      <c r="R31">
        <v>0.002171193</v>
      </c>
      <c r="S31" s="6" t="s">
        <v>1079</v>
      </c>
      <c r="T31">
        <v>6</v>
      </c>
      <c r="U31" s="3">
        <v>35</v>
      </c>
      <c r="V31" s="4" t="str">
        <f>IF(U31&gt;=[1]评分标准!$B$5,[1]评分标准!$A$5,IF(U31&gt;=[1]评分标准!$B$6,[1]评分标准!$A$6,IF(U31&gt;=[1]评分标准!$B$7,[1]评分标准!$A$7,IF(U31&gt;=[1]评分标准!$B$8,[1]评分标准!$A$8,[1]评分标准!$A$9))))</f>
        <v>不相似</v>
      </c>
      <c r="W31" s="6" t="s">
        <v>1080</v>
      </c>
      <c r="X31" s="6" t="s">
        <v>1081</v>
      </c>
      <c r="Y31" s="6" t="s">
        <v>1082</v>
      </c>
      <c r="Z31" s="6" t="s">
        <v>1083</v>
      </c>
      <c r="AA31" s="6" t="s">
        <v>1084</v>
      </c>
      <c r="AB31" s="6" t="s">
        <v>1085</v>
      </c>
      <c r="AC31" s="6" t="s">
        <v>1086</v>
      </c>
      <c r="AD31" s="6" t="s">
        <v>1087</v>
      </c>
      <c r="AE31" s="6" t="s">
        <v>1088</v>
      </c>
      <c r="AF31" s="6" t="s">
        <v>1089</v>
      </c>
      <c r="AG31" s="6" t="s">
        <v>1090</v>
      </c>
      <c r="AH31" s="6" t="s">
        <v>1091</v>
      </c>
      <c r="AI31" s="6" t="s">
        <v>1092</v>
      </c>
      <c r="AJ31" s="6" t="s">
        <v>1093</v>
      </c>
      <c r="AK31" s="6" t="s">
        <v>1094</v>
      </c>
      <c r="AL31" s="6" t="s">
        <v>1095</v>
      </c>
      <c r="AM31" s="6" t="s">
        <v>1096</v>
      </c>
      <c r="AN31" s="6" t="s">
        <v>1097</v>
      </c>
      <c r="AO31" s="6" t="s">
        <v>1098</v>
      </c>
      <c r="AP31" s="6" t="s">
        <v>1099</v>
      </c>
      <c r="AQ31" s="6" t="s">
        <v>1100</v>
      </c>
      <c r="AR31" s="6" t="s">
        <v>1101</v>
      </c>
      <c r="AS31" s="6" t="s">
        <v>1102</v>
      </c>
      <c r="AT31" s="6" t="s">
        <v>1103</v>
      </c>
    </row>
    <row r="32" ht="13.5" spans="1:46">
      <c r="A32" t="s">
        <v>1104</v>
      </c>
      <c r="B32">
        <v>1</v>
      </c>
      <c r="C32" t="s">
        <v>1105</v>
      </c>
      <c r="D32" t="s">
        <v>1106</v>
      </c>
      <c r="E32" t="s">
        <v>1107</v>
      </c>
      <c r="F32" t="s">
        <v>50</v>
      </c>
      <c r="G32" t="s">
        <v>1108</v>
      </c>
      <c r="H32" t="s">
        <v>1109</v>
      </c>
      <c r="I32" t="s">
        <v>126</v>
      </c>
      <c r="J32" t="s">
        <v>1110</v>
      </c>
      <c r="K32" t="s">
        <v>1111</v>
      </c>
      <c r="L32" t="s">
        <v>1112</v>
      </c>
      <c r="M32" t="s">
        <v>1039</v>
      </c>
      <c r="N32" s="6" t="s">
        <v>1113</v>
      </c>
      <c r="O32" s="6" t="s">
        <v>1114</v>
      </c>
      <c r="P32" s="6" t="s">
        <v>1115</v>
      </c>
      <c r="Q32">
        <v>29</v>
      </c>
      <c r="R32">
        <v>0.009074348</v>
      </c>
      <c r="S32" s="6" t="s">
        <v>1116</v>
      </c>
      <c r="T32">
        <v>0</v>
      </c>
      <c r="U32" s="3">
        <v>60</v>
      </c>
      <c r="V32" s="4" t="str">
        <f>IF(U32&gt;=[1]评分标准!$B$5,[1]评分标准!$A$5,IF(U32&gt;=[1]评分标准!$B$6,[1]评分标准!$A$6,IF(U32&gt;=[1]评分标准!$B$7,[1]评分标准!$A$7,IF(U32&gt;=[1]评分标准!$B$8,[1]评分标准!$A$8,[1]评分标准!$A$9))))</f>
        <v>中等相似</v>
      </c>
      <c r="W32" s="6" t="s">
        <v>1117</v>
      </c>
      <c r="X32" s="6" t="s">
        <v>1118</v>
      </c>
      <c r="Y32" s="6" t="s">
        <v>1119</v>
      </c>
      <c r="Z32" s="6" t="s">
        <v>1120</v>
      </c>
      <c r="AA32" s="6" t="s">
        <v>1121</v>
      </c>
      <c r="AB32" s="6" t="s">
        <v>1122</v>
      </c>
      <c r="AC32" s="6" t="s">
        <v>1123</v>
      </c>
      <c r="AD32" s="6" t="s">
        <v>1124</v>
      </c>
      <c r="AE32" s="6" t="s">
        <v>1125</v>
      </c>
      <c r="AF32" s="6" t="s">
        <v>1126</v>
      </c>
      <c r="AG32" s="6" t="s">
        <v>1127</v>
      </c>
      <c r="AH32" s="6" t="s">
        <v>1128</v>
      </c>
      <c r="AI32" s="6" t="s">
        <v>1129</v>
      </c>
      <c r="AJ32" s="6" t="s">
        <v>1130</v>
      </c>
      <c r="AK32" s="6" t="s">
        <v>1131</v>
      </c>
      <c r="AL32" s="6" t="s">
        <v>1132</v>
      </c>
      <c r="AM32" s="6" t="s">
        <v>1133</v>
      </c>
      <c r="AN32" s="6" t="s">
        <v>1134</v>
      </c>
      <c r="AO32" s="6" t="s">
        <v>1135</v>
      </c>
      <c r="AP32" s="6" t="s">
        <v>1136</v>
      </c>
      <c r="AQ32" s="6" t="s">
        <v>1137</v>
      </c>
      <c r="AR32" s="6" t="s">
        <v>1138</v>
      </c>
      <c r="AS32" s="6" t="s">
        <v>1139</v>
      </c>
      <c r="AT32" s="6" t="s">
        <v>1140</v>
      </c>
    </row>
    <row r="33" ht="13.5" spans="1:46">
      <c r="A33" t="s">
        <v>1141</v>
      </c>
      <c r="B33">
        <v>1</v>
      </c>
      <c r="C33" t="s">
        <v>1142</v>
      </c>
      <c r="D33" t="s">
        <v>1143</v>
      </c>
      <c r="E33" t="s">
        <v>1144</v>
      </c>
      <c r="F33" t="s">
        <v>331</v>
      </c>
      <c r="G33" t="s">
        <v>50</v>
      </c>
      <c r="H33" t="s">
        <v>1145</v>
      </c>
      <c r="I33" t="s">
        <v>1146</v>
      </c>
      <c r="J33" t="s">
        <v>1147</v>
      </c>
      <c r="K33" t="s">
        <v>1148</v>
      </c>
      <c r="L33" t="s">
        <v>1149</v>
      </c>
      <c r="M33" t="s">
        <v>410</v>
      </c>
      <c r="N33" s="6" t="s">
        <v>1150</v>
      </c>
      <c r="O33" s="6" t="s">
        <v>1151</v>
      </c>
      <c r="P33" s="6" t="s">
        <v>1152</v>
      </c>
      <c r="Q33">
        <v>28</v>
      </c>
      <c r="R33">
        <v>0.015209428</v>
      </c>
      <c r="S33" s="6" t="s">
        <v>1153</v>
      </c>
      <c r="T33">
        <v>3</v>
      </c>
      <c r="U33" s="3">
        <v>98</v>
      </c>
      <c r="V33" s="4" t="str">
        <f>IF(U33&gt;=[1]评分标准!$B$5,[1]评分标准!$A$5,IF(U33&gt;=[1]评分标准!$B$6,[1]评分标准!$A$6,IF(U33&gt;=[1]评分标准!$B$7,[1]评分标准!$A$7,IF(U33&gt;=[1]评分标准!$B$8,[1]评分标准!$A$8,[1]评分标准!$A$9))))</f>
        <v>高度相似</v>
      </c>
      <c r="W33" s="6" t="s">
        <v>1154</v>
      </c>
      <c r="X33" s="6" t="s">
        <v>1155</v>
      </c>
      <c r="Y33">
        <v>1</v>
      </c>
      <c r="Z33" s="6" t="s">
        <v>1156</v>
      </c>
      <c r="AA33" s="6" t="s">
        <v>1157</v>
      </c>
      <c r="AB33">
        <v>1</v>
      </c>
      <c r="AC33" s="6" t="s">
        <v>1158</v>
      </c>
      <c r="AD33" s="6" t="s">
        <v>1159</v>
      </c>
      <c r="AE33">
        <v>1</v>
      </c>
      <c r="AF33" s="6" t="s">
        <v>1160</v>
      </c>
      <c r="AG33" s="6" t="s">
        <v>1161</v>
      </c>
      <c r="AH33">
        <v>1</v>
      </c>
      <c r="AI33" s="6" t="s">
        <v>1162</v>
      </c>
      <c r="AJ33" s="6" t="s">
        <v>1163</v>
      </c>
      <c r="AK33" s="6" t="s">
        <v>1164</v>
      </c>
      <c r="AL33" s="6" t="s">
        <v>1165</v>
      </c>
      <c r="AM33" s="6" t="s">
        <v>1166</v>
      </c>
      <c r="AN33" s="6" t="s">
        <v>1167</v>
      </c>
      <c r="AO33" s="6" t="s">
        <v>1168</v>
      </c>
      <c r="AP33" s="6" t="s">
        <v>1169</v>
      </c>
      <c r="AQ33" s="6" t="s">
        <v>1170</v>
      </c>
      <c r="AR33" s="6" t="s">
        <v>1171</v>
      </c>
      <c r="AS33" s="6" t="s">
        <v>1172</v>
      </c>
      <c r="AT33" s="6" t="s">
        <v>1173</v>
      </c>
    </row>
    <row r="34" ht="13.5" spans="1:46">
      <c r="A34" t="s">
        <v>1174</v>
      </c>
      <c r="B34">
        <v>1</v>
      </c>
      <c r="C34" t="s">
        <v>1175</v>
      </c>
      <c r="D34" t="s">
        <v>1176</v>
      </c>
      <c r="E34" t="s">
        <v>1177</v>
      </c>
      <c r="F34" t="s">
        <v>331</v>
      </c>
      <c r="G34" t="s">
        <v>933</v>
      </c>
      <c r="H34" t="s">
        <v>1178</v>
      </c>
      <c r="I34" t="s">
        <v>126</v>
      </c>
      <c r="J34" t="s">
        <v>1179</v>
      </c>
      <c r="K34" t="s">
        <v>1180</v>
      </c>
      <c r="L34" t="s">
        <v>1181</v>
      </c>
      <c r="M34" t="s">
        <v>593</v>
      </c>
      <c r="N34" s="6" t="s">
        <v>1182</v>
      </c>
      <c r="O34" s="6" t="s">
        <v>1183</v>
      </c>
      <c r="P34" s="6" t="s">
        <v>1184</v>
      </c>
      <c r="Q34">
        <v>34</v>
      </c>
      <c r="R34">
        <v>0.038405024</v>
      </c>
      <c r="S34" s="6" t="s">
        <v>1185</v>
      </c>
      <c r="T34">
        <v>6</v>
      </c>
      <c r="U34" s="3">
        <v>60</v>
      </c>
      <c r="V34" s="4" t="str">
        <f>IF(U34&gt;=[1]评分标准!$B$5,[1]评分标准!$A$5,IF(U34&gt;=[1]评分标准!$B$6,[1]评分标准!$A$6,IF(U34&gt;=[1]评分标准!$B$7,[1]评分标准!$A$7,IF(U34&gt;=[1]评分标准!$B$8,[1]评分标准!$A$8,[1]评分标准!$A$9))))</f>
        <v>中等相似</v>
      </c>
      <c r="W34" s="6" t="s">
        <v>1186</v>
      </c>
      <c r="X34" s="6" t="s">
        <v>1187</v>
      </c>
      <c r="Y34" s="6" t="s">
        <v>1188</v>
      </c>
      <c r="Z34" s="6" t="s">
        <v>1189</v>
      </c>
      <c r="AA34" s="6" t="s">
        <v>1190</v>
      </c>
      <c r="AB34" s="6" t="s">
        <v>1191</v>
      </c>
      <c r="AC34" s="6" t="s">
        <v>1192</v>
      </c>
      <c r="AD34" s="6" t="s">
        <v>1193</v>
      </c>
      <c r="AE34" s="6" t="s">
        <v>1194</v>
      </c>
      <c r="AF34" s="6" t="s">
        <v>1195</v>
      </c>
      <c r="AG34" s="6" t="s">
        <v>1196</v>
      </c>
      <c r="AH34" s="6" t="s">
        <v>1197</v>
      </c>
      <c r="AI34" s="6" t="s">
        <v>1198</v>
      </c>
      <c r="AJ34" s="6" t="s">
        <v>1199</v>
      </c>
      <c r="AK34" s="6" t="s">
        <v>1200</v>
      </c>
      <c r="AL34" s="6" t="s">
        <v>1201</v>
      </c>
      <c r="AM34" s="6" t="s">
        <v>1202</v>
      </c>
      <c r="AN34" s="6" t="s">
        <v>1203</v>
      </c>
      <c r="AO34" s="6" t="s">
        <v>1204</v>
      </c>
      <c r="AP34" s="6" t="s">
        <v>1205</v>
      </c>
      <c r="AQ34" s="6" t="s">
        <v>1206</v>
      </c>
      <c r="AR34" s="6" t="s">
        <v>1207</v>
      </c>
      <c r="AS34" s="6" t="s">
        <v>1208</v>
      </c>
      <c r="AT34" s="6" t="s">
        <v>1209</v>
      </c>
    </row>
    <row r="35" ht="13.5" spans="1:46">
      <c r="A35" t="s">
        <v>1210</v>
      </c>
      <c r="B35">
        <v>1</v>
      </c>
      <c r="C35" t="s">
        <v>1211</v>
      </c>
      <c r="D35" t="s">
        <v>1212</v>
      </c>
      <c r="E35" t="e">
        <f>-tau*LOG(1-v/v_inf)</f>
        <v>#NAME?</v>
      </c>
      <c r="F35" t="s">
        <v>897</v>
      </c>
      <c r="G35" t="s">
        <v>1213</v>
      </c>
      <c r="H35" t="s">
        <v>1214</v>
      </c>
      <c r="I35" t="s">
        <v>126</v>
      </c>
      <c r="J35" t="e">
        <f>-tau*LOG(-v/v_inf+1)</f>
        <v>#NAME?</v>
      </c>
      <c r="K35" t="s">
        <v>1215</v>
      </c>
      <c r="L35" t="s">
        <v>1216</v>
      </c>
      <c r="M35" t="s">
        <v>236</v>
      </c>
      <c r="N35" s="6" t="s">
        <v>1217</v>
      </c>
      <c r="O35" s="6" t="s">
        <v>1218</v>
      </c>
      <c r="P35" s="6" t="s">
        <v>1219</v>
      </c>
      <c r="Q35">
        <v>19</v>
      </c>
      <c r="R35">
        <v>0.010063565</v>
      </c>
      <c r="S35" s="6" t="s">
        <v>1220</v>
      </c>
      <c r="T35">
        <v>7</v>
      </c>
      <c r="U35" s="3">
        <v>25</v>
      </c>
      <c r="V35" s="4" t="str">
        <f>IF(U35&gt;=[1]评分标准!$B$5,[1]评分标准!$A$5,IF(U35&gt;=[1]评分标准!$B$6,[1]评分标准!$A$6,IF(U35&gt;=[1]评分标准!$B$7,[1]评分标准!$A$7,IF(U35&gt;=[1]评分标准!$B$8,[1]评分标准!$A$8,[1]评分标准!$A$9))))</f>
        <v>不相似</v>
      </c>
      <c r="W35" s="6" t="s">
        <v>1221</v>
      </c>
      <c r="X35" s="6" t="s">
        <v>1222</v>
      </c>
      <c r="Y35" s="6" t="s">
        <v>1223</v>
      </c>
      <c r="Z35" s="6" t="s">
        <v>1224</v>
      </c>
      <c r="AA35" s="6" t="s">
        <v>1225</v>
      </c>
      <c r="AB35" s="6" t="s">
        <v>1226</v>
      </c>
      <c r="AC35" s="6" t="s">
        <v>1227</v>
      </c>
      <c r="AD35" s="6" t="s">
        <v>1228</v>
      </c>
      <c r="AE35" s="6" t="s">
        <v>1229</v>
      </c>
      <c r="AF35" s="6" t="s">
        <v>1230</v>
      </c>
      <c r="AG35" s="6" t="s">
        <v>1231</v>
      </c>
      <c r="AH35" s="6" t="s">
        <v>1232</v>
      </c>
      <c r="AI35" s="6" t="s">
        <v>1233</v>
      </c>
      <c r="AJ35" s="6" t="s">
        <v>1234</v>
      </c>
      <c r="AK35" s="6" t="s">
        <v>1235</v>
      </c>
      <c r="AL35" s="6" t="s">
        <v>1236</v>
      </c>
      <c r="AM35" s="6" t="s">
        <v>1237</v>
      </c>
      <c r="AN35" s="6" t="s">
        <v>1238</v>
      </c>
      <c r="AO35" s="6" t="s">
        <v>1239</v>
      </c>
      <c r="AP35" s="6" t="s">
        <v>1240</v>
      </c>
      <c r="AQ35" s="6" t="s">
        <v>1241</v>
      </c>
      <c r="AR35" s="6" t="s">
        <v>1242</v>
      </c>
      <c r="AS35" s="6" t="s">
        <v>1243</v>
      </c>
      <c r="AT35" s="6" t="s">
        <v>1244</v>
      </c>
    </row>
    <row r="36" ht="13.5" spans="1:46">
      <c r="A36" t="s">
        <v>1245</v>
      </c>
      <c r="B36">
        <v>1</v>
      </c>
      <c r="C36" t="s">
        <v>1246</v>
      </c>
      <c r="D36" t="s">
        <v>1247</v>
      </c>
      <c r="E36" t="s">
        <v>1248</v>
      </c>
      <c r="F36" t="s">
        <v>229</v>
      </c>
      <c r="G36" t="s">
        <v>1249</v>
      </c>
      <c r="H36" t="s">
        <v>1250</v>
      </c>
      <c r="I36" t="s">
        <v>126</v>
      </c>
      <c r="J36" t="s">
        <v>1251</v>
      </c>
      <c r="K36" t="s">
        <v>1252</v>
      </c>
      <c r="L36" t="s">
        <v>1253</v>
      </c>
      <c r="M36" t="s">
        <v>593</v>
      </c>
      <c r="N36" s="6" t="s">
        <v>1254</v>
      </c>
      <c r="O36" s="6" t="s">
        <v>1255</v>
      </c>
      <c r="P36" s="6" t="s">
        <v>1256</v>
      </c>
      <c r="Q36">
        <v>16</v>
      </c>
      <c r="R36">
        <v>0.035200983</v>
      </c>
      <c r="S36" s="6" t="s">
        <v>1257</v>
      </c>
      <c r="T36">
        <v>7</v>
      </c>
      <c r="U36" s="3">
        <v>45</v>
      </c>
      <c r="V36" s="4" t="str">
        <f>IF(U36&gt;=[1]评分标准!$B$5,[1]评分标准!$A$5,IF(U36&gt;=[1]评分标准!$B$6,[1]评分标准!$A$6,IF(U36&gt;=[1]评分标准!$B$7,[1]评分标准!$A$7,IF(U36&gt;=[1]评分标准!$B$8,[1]评分标准!$A$8,[1]评分标准!$A$9))))</f>
        <v>较低相似</v>
      </c>
      <c r="W36" s="6" t="s">
        <v>1258</v>
      </c>
      <c r="X36" s="6" t="s">
        <v>1259</v>
      </c>
      <c r="Y36" s="6" t="s">
        <v>1260</v>
      </c>
      <c r="Z36" s="6" t="s">
        <v>1261</v>
      </c>
      <c r="AA36" s="6" t="s">
        <v>1262</v>
      </c>
      <c r="AB36" s="6" t="s">
        <v>1263</v>
      </c>
      <c r="AC36" s="6" t="s">
        <v>1264</v>
      </c>
      <c r="AD36" s="6" t="s">
        <v>1265</v>
      </c>
      <c r="AE36" s="6" t="s">
        <v>1266</v>
      </c>
      <c r="AF36" s="6" t="s">
        <v>1267</v>
      </c>
      <c r="AG36" s="6" t="s">
        <v>1268</v>
      </c>
      <c r="AH36" s="6" t="s">
        <v>1269</v>
      </c>
      <c r="AI36" s="6" t="s">
        <v>1270</v>
      </c>
      <c r="AJ36" s="6" t="s">
        <v>1271</v>
      </c>
      <c r="AK36" s="6" t="s">
        <v>1272</v>
      </c>
      <c r="AL36" s="6" t="s">
        <v>1273</v>
      </c>
      <c r="AM36" s="6" t="s">
        <v>1274</v>
      </c>
      <c r="AN36" s="6" t="s">
        <v>1275</v>
      </c>
      <c r="AO36" s="6" t="s">
        <v>1276</v>
      </c>
      <c r="AP36" s="6" t="s">
        <v>1277</v>
      </c>
      <c r="AQ36" s="6" t="s">
        <v>1278</v>
      </c>
      <c r="AR36" s="6" t="s">
        <v>1279</v>
      </c>
      <c r="AS36" s="6" t="s">
        <v>1280</v>
      </c>
      <c r="AT36" s="6" t="s">
        <v>1281</v>
      </c>
    </row>
    <row r="37" ht="13.5" spans="1:46">
      <c r="A37" t="s">
        <v>1282</v>
      </c>
      <c r="B37">
        <v>1</v>
      </c>
      <c r="C37" t="s">
        <v>1283</v>
      </c>
      <c r="D37" t="s">
        <v>1284</v>
      </c>
      <c r="E37" t="s">
        <v>1285</v>
      </c>
      <c r="F37" t="s">
        <v>933</v>
      </c>
      <c r="G37" t="s">
        <v>1286</v>
      </c>
      <c r="H37" t="s">
        <v>1287</v>
      </c>
      <c r="I37" t="s">
        <v>126</v>
      </c>
      <c r="J37" t="s">
        <v>1288</v>
      </c>
      <c r="K37" t="s">
        <v>1289</v>
      </c>
      <c r="L37" t="s">
        <v>1290</v>
      </c>
      <c r="M37" t="s">
        <v>57</v>
      </c>
      <c r="N37" s="6" t="s">
        <v>1291</v>
      </c>
      <c r="O37" s="6" t="s">
        <v>1292</v>
      </c>
      <c r="P37" s="6" t="s">
        <v>1293</v>
      </c>
      <c r="Q37">
        <v>32</v>
      </c>
      <c r="R37">
        <v>0.010129522</v>
      </c>
      <c r="S37" s="6" t="s">
        <v>1294</v>
      </c>
      <c r="T37">
        <v>3</v>
      </c>
      <c r="U37" s="3">
        <v>98</v>
      </c>
      <c r="V37" s="4" t="str">
        <f>IF(U37&gt;=[1]评分标准!$B$5,[1]评分标准!$A$5,IF(U37&gt;=[1]评分标准!$B$6,[1]评分标准!$A$6,IF(U37&gt;=[1]评分标准!$B$7,[1]评分标准!$A$7,IF(U37&gt;=[1]评分标准!$B$8,[1]评分标准!$A$8,[1]评分标准!$A$9))))</f>
        <v>高度相似</v>
      </c>
      <c r="W37" s="6" t="s">
        <v>1295</v>
      </c>
      <c r="X37" s="6" t="s">
        <v>1296</v>
      </c>
      <c r="Y37">
        <v>-0.661272435186654</v>
      </c>
      <c r="Z37" s="6" t="s">
        <v>1297</v>
      </c>
      <c r="AA37" s="6" t="s">
        <v>1298</v>
      </c>
      <c r="AB37">
        <v>-2.76609429876054</v>
      </c>
      <c r="AC37" s="6" t="s">
        <v>1299</v>
      </c>
      <c r="AD37" s="6" t="s">
        <v>1300</v>
      </c>
      <c r="AE37">
        <v>-2.97726996598985</v>
      </c>
      <c r="AF37" s="6" t="s">
        <v>1301</v>
      </c>
      <c r="AG37" s="6" t="s">
        <v>1302</v>
      </c>
      <c r="AH37">
        <v>-3.59085673657675</v>
      </c>
      <c r="AI37" s="6" t="s">
        <v>1303</v>
      </c>
      <c r="AJ37" s="6" t="s">
        <v>1304</v>
      </c>
      <c r="AK37">
        <v>-4.20527917530788</v>
      </c>
      <c r="AL37" s="6" t="s">
        <v>1305</v>
      </c>
      <c r="AM37" s="6" t="s">
        <v>1306</v>
      </c>
      <c r="AN37">
        <v>-3.57247052512304</v>
      </c>
      <c r="AO37" s="6" t="s">
        <v>1307</v>
      </c>
      <c r="AP37" s="6" t="s">
        <v>1308</v>
      </c>
      <c r="AQ37">
        <v>-4.66504289104495</v>
      </c>
      <c r="AR37" s="6" t="s">
        <v>1309</v>
      </c>
      <c r="AS37" s="6" t="s">
        <v>1310</v>
      </c>
      <c r="AT37">
        <v>-4.14813438713548</v>
      </c>
    </row>
    <row r="38" ht="13.5" spans="1:46">
      <c r="A38" t="s">
        <v>1311</v>
      </c>
      <c r="B38">
        <v>1</v>
      </c>
      <c r="C38" t="s">
        <v>1312</v>
      </c>
      <c r="D38" t="s">
        <v>1313</v>
      </c>
      <c r="E38" t="s">
        <v>1314</v>
      </c>
      <c r="F38" t="s">
        <v>659</v>
      </c>
      <c r="G38" t="s">
        <v>1315</v>
      </c>
      <c r="H38" t="s">
        <v>1316</v>
      </c>
      <c r="I38" t="s">
        <v>1317</v>
      </c>
      <c r="J38" t="s">
        <v>1318</v>
      </c>
      <c r="K38" t="s">
        <v>1319</v>
      </c>
      <c r="L38" t="s">
        <v>1320</v>
      </c>
      <c r="M38" t="s">
        <v>410</v>
      </c>
      <c r="N38" s="6" t="s">
        <v>1321</v>
      </c>
      <c r="O38" s="6" t="s">
        <v>1322</v>
      </c>
      <c r="P38" s="6" t="s">
        <v>1323</v>
      </c>
      <c r="Q38">
        <v>31</v>
      </c>
      <c r="R38">
        <v>0.038753163</v>
      </c>
      <c r="S38" s="6" t="s">
        <v>1324</v>
      </c>
      <c r="T38">
        <v>4</v>
      </c>
      <c r="U38" s="3">
        <v>95</v>
      </c>
      <c r="V38" s="4" t="str">
        <f>IF(U38&gt;=[1]评分标准!$B$5,[1]评分标准!$A$5,IF(U38&gt;=[1]评分标准!$B$6,[1]评分标准!$A$6,IF(U38&gt;=[1]评分标准!$B$7,[1]评分标准!$A$7,IF(U38&gt;=[1]评分标准!$B$8,[1]评分标准!$A$8,[1]评分标准!$A$9))))</f>
        <v>高度相似</v>
      </c>
      <c r="W38" s="6" t="s">
        <v>1325</v>
      </c>
      <c r="X38" s="6" t="s">
        <v>1326</v>
      </c>
      <c r="Y38">
        <v>1</v>
      </c>
      <c r="Z38" s="6" t="s">
        <v>1327</v>
      </c>
      <c r="AA38" s="6" t="s">
        <v>1328</v>
      </c>
      <c r="AB38">
        <v>1</v>
      </c>
      <c r="AC38" s="6" t="s">
        <v>1329</v>
      </c>
      <c r="AD38" s="6" t="s">
        <v>1330</v>
      </c>
      <c r="AE38">
        <v>1</v>
      </c>
      <c r="AF38" s="6" t="s">
        <v>1331</v>
      </c>
      <c r="AG38" s="6" t="s">
        <v>1332</v>
      </c>
      <c r="AH38">
        <v>1</v>
      </c>
      <c r="AI38" s="6" t="s">
        <v>1333</v>
      </c>
      <c r="AJ38" s="6" t="s">
        <v>1334</v>
      </c>
      <c r="AK38" s="6" t="s">
        <v>1335</v>
      </c>
      <c r="AL38" s="6" t="s">
        <v>1336</v>
      </c>
      <c r="AM38" s="6" t="s">
        <v>1337</v>
      </c>
      <c r="AN38" s="6" t="s">
        <v>1338</v>
      </c>
      <c r="AO38" s="6" t="s">
        <v>1339</v>
      </c>
      <c r="AP38" s="6" t="s">
        <v>1340</v>
      </c>
      <c r="AQ38" s="6" t="s">
        <v>1341</v>
      </c>
      <c r="AR38" s="6" t="s">
        <v>1342</v>
      </c>
      <c r="AS38" s="6" t="s">
        <v>1343</v>
      </c>
      <c r="AT38" s="6" t="s">
        <v>1344</v>
      </c>
    </row>
    <row r="39" ht="13.5" spans="1:46">
      <c r="A39" t="s">
        <v>1345</v>
      </c>
      <c r="B39">
        <v>1</v>
      </c>
      <c r="C39" t="s">
        <v>1346</v>
      </c>
      <c r="D39" t="s">
        <v>1347</v>
      </c>
      <c r="E39" t="s">
        <v>1348</v>
      </c>
      <c r="F39" t="s">
        <v>1213</v>
      </c>
      <c r="G39" t="s">
        <v>1315</v>
      </c>
      <c r="H39" t="s">
        <v>1349</v>
      </c>
      <c r="I39" t="s">
        <v>126</v>
      </c>
      <c r="J39" t="s">
        <v>1348</v>
      </c>
      <c r="K39" t="s">
        <v>1350</v>
      </c>
      <c r="L39" t="s">
        <v>1351</v>
      </c>
      <c r="M39" t="s">
        <v>57</v>
      </c>
      <c r="N39" s="6" t="s">
        <v>1352</v>
      </c>
      <c r="O39" s="6" t="s">
        <v>1353</v>
      </c>
      <c r="P39" s="6" t="s">
        <v>1354</v>
      </c>
      <c r="Q39">
        <v>26</v>
      </c>
      <c r="R39">
        <v>0.0035499057</v>
      </c>
      <c r="S39" s="6" t="s">
        <v>1355</v>
      </c>
      <c r="T39">
        <v>5</v>
      </c>
      <c r="U39" s="3">
        <v>98</v>
      </c>
      <c r="V39" s="4" t="str">
        <f>IF(U39&gt;=[1]评分标准!$B$5,[1]评分标准!$A$5,IF(U39&gt;=[1]评分标准!$B$6,[1]评分标准!$A$6,IF(U39&gt;=[1]评分标准!$B$7,[1]评分标准!$A$7,IF(U39&gt;=[1]评分标准!$B$8,[1]评分标准!$A$8,[1]评分标准!$A$9))))</f>
        <v>高度相似</v>
      </c>
      <c r="W39" s="6" t="s">
        <v>1356</v>
      </c>
      <c r="X39" s="6" t="s">
        <v>1357</v>
      </c>
      <c r="Y39">
        <v>1</v>
      </c>
      <c r="Z39" s="6" t="s">
        <v>1358</v>
      </c>
      <c r="AA39" s="6" t="s">
        <v>1359</v>
      </c>
      <c r="AB39">
        <v>1</v>
      </c>
      <c r="AC39" s="6" t="s">
        <v>1360</v>
      </c>
      <c r="AD39" s="6" t="s">
        <v>1361</v>
      </c>
      <c r="AE39">
        <v>1</v>
      </c>
      <c r="AF39" s="6" t="s">
        <v>1362</v>
      </c>
      <c r="AG39" s="6" t="s">
        <v>1363</v>
      </c>
      <c r="AH39">
        <v>1</v>
      </c>
      <c r="AI39" s="6" t="s">
        <v>1364</v>
      </c>
      <c r="AJ39" s="6" t="s">
        <v>1365</v>
      </c>
      <c r="AK39" s="6" t="s">
        <v>1366</v>
      </c>
      <c r="AL39" s="6" t="s">
        <v>1367</v>
      </c>
      <c r="AM39" s="6" t="s">
        <v>1368</v>
      </c>
      <c r="AN39" s="6" t="s">
        <v>1369</v>
      </c>
      <c r="AO39" s="6" t="s">
        <v>1370</v>
      </c>
      <c r="AP39" s="6" t="s">
        <v>1371</v>
      </c>
      <c r="AQ39" s="6" t="s">
        <v>1372</v>
      </c>
      <c r="AR39" s="6" t="s">
        <v>1373</v>
      </c>
      <c r="AS39" s="6" t="s">
        <v>1374</v>
      </c>
      <c r="AT39" s="6" t="s">
        <v>1375</v>
      </c>
    </row>
    <row r="40" ht="13.5" spans="1:46">
      <c r="A40" t="s">
        <v>1376</v>
      </c>
      <c r="B40">
        <v>1</v>
      </c>
      <c r="C40" t="s">
        <v>1377</v>
      </c>
      <c r="D40" t="s">
        <v>1378</v>
      </c>
      <c r="E40" t="s">
        <v>1379</v>
      </c>
      <c r="F40" t="s">
        <v>1380</v>
      </c>
      <c r="G40" t="s">
        <v>1381</v>
      </c>
      <c r="H40" t="s">
        <v>1382</v>
      </c>
      <c r="I40" t="s">
        <v>1383</v>
      </c>
      <c r="J40" t="s">
        <v>1384</v>
      </c>
      <c r="K40" t="s">
        <v>1385</v>
      </c>
      <c r="L40" t="s">
        <v>1386</v>
      </c>
      <c r="M40" t="s">
        <v>410</v>
      </c>
      <c r="N40" s="6" t="s">
        <v>1387</v>
      </c>
      <c r="O40" s="6" t="s">
        <v>1388</v>
      </c>
      <c r="P40" s="6" t="s">
        <v>1389</v>
      </c>
      <c r="Q40">
        <v>34</v>
      </c>
      <c r="R40">
        <v>0.0037380143</v>
      </c>
      <c r="S40" s="6" t="s">
        <v>1390</v>
      </c>
      <c r="T40">
        <v>1</v>
      </c>
      <c r="U40" s="3">
        <v>85</v>
      </c>
      <c r="V40" s="4" t="str">
        <f>IF(U40&gt;=[1]评分标准!$B$5,[1]评分标准!$A$5,IF(U40&gt;=[1]评分标准!$B$6,[1]评分标准!$A$6,IF(U40&gt;=[1]评分标准!$B$7,[1]评分标准!$A$7,IF(U40&gt;=[1]评分标准!$B$8,[1]评分标准!$A$8,[1]评分标准!$A$9))))</f>
        <v>较高相似</v>
      </c>
      <c r="W40" s="6" t="s">
        <v>1391</v>
      </c>
      <c r="X40" s="6" t="s">
        <v>1392</v>
      </c>
      <c r="Y40" s="6" t="s">
        <v>1393</v>
      </c>
      <c r="Z40" s="6" t="s">
        <v>1394</v>
      </c>
      <c r="AA40" s="6" t="s">
        <v>1395</v>
      </c>
      <c r="AB40" s="6" t="s">
        <v>1396</v>
      </c>
      <c r="AC40" s="6" t="s">
        <v>1397</v>
      </c>
      <c r="AD40" s="6" t="s">
        <v>1398</v>
      </c>
      <c r="AE40" s="6" t="s">
        <v>1399</v>
      </c>
      <c r="AF40" s="6" t="s">
        <v>1400</v>
      </c>
      <c r="AG40" s="6" t="s">
        <v>1401</v>
      </c>
      <c r="AH40" s="6" t="s">
        <v>1402</v>
      </c>
      <c r="AI40" s="6" t="s">
        <v>1403</v>
      </c>
      <c r="AJ40" s="6" t="s">
        <v>1404</v>
      </c>
      <c r="AK40" s="6" t="s">
        <v>1405</v>
      </c>
      <c r="AL40" s="6" t="s">
        <v>1406</v>
      </c>
      <c r="AM40" s="6" t="s">
        <v>1407</v>
      </c>
      <c r="AN40" s="6" t="s">
        <v>1408</v>
      </c>
      <c r="AO40" s="6" t="s">
        <v>1409</v>
      </c>
      <c r="AP40" s="6" t="s">
        <v>1410</v>
      </c>
      <c r="AQ40" s="6" t="s">
        <v>1411</v>
      </c>
      <c r="AR40" s="6" t="s">
        <v>1412</v>
      </c>
      <c r="AS40" s="6" t="s">
        <v>1413</v>
      </c>
      <c r="AT40" s="6" t="s">
        <v>1414</v>
      </c>
    </row>
    <row r="41" ht="13.5" spans="1:46">
      <c r="A41" t="s">
        <v>1415</v>
      </c>
      <c r="B41">
        <v>1</v>
      </c>
      <c r="C41" t="s">
        <v>1416</v>
      </c>
      <c r="D41" t="s">
        <v>1417</v>
      </c>
      <c r="E41" t="s">
        <v>1418</v>
      </c>
      <c r="F41" t="s">
        <v>897</v>
      </c>
      <c r="G41" t="s">
        <v>50</v>
      </c>
      <c r="H41" t="s">
        <v>1419</v>
      </c>
      <c r="I41" t="s">
        <v>126</v>
      </c>
      <c r="J41" t="s">
        <v>1420</v>
      </c>
      <c r="K41" t="s">
        <v>1421</v>
      </c>
      <c r="L41" t="s">
        <v>1422</v>
      </c>
      <c r="M41" t="s">
        <v>236</v>
      </c>
      <c r="N41" s="6" t="s">
        <v>1423</v>
      </c>
      <c r="O41" s="6" t="s">
        <v>1424</v>
      </c>
      <c r="P41" s="6" t="s">
        <v>1425</v>
      </c>
      <c r="Q41">
        <v>21</v>
      </c>
      <c r="R41">
        <v>0.029384311</v>
      </c>
      <c r="S41" s="6" t="s">
        <v>1426</v>
      </c>
      <c r="T41">
        <v>0</v>
      </c>
      <c r="U41" s="3">
        <v>98</v>
      </c>
      <c r="V41" s="4" t="str">
        <f>IF(U41&gt;=[1]评分标准!$B$5,[1]评分标准!$A$5,IF(U41&gt;=[1]评分标准!$B$6,[1]评分标准!$A$6,IF(U41&gt;=[1]评分标准!$B$7,[1]评分标准!$A$7,IF(U41&gt;=[1]评分标准!$B$8,[1]评分标准!$A$8,[1]评分标准!$A$9))))</f>
        <v>高度相似</v>
      </c>
      <c r="W41" s="6" t="s">
        <v>1427</v>
      </c>
      <c r="X41" s="6" t="s">
        <v>1428</v>
      </c>
      <c r="Y41">
        <v>1</v>
      </c>
      <c r="Z41" s="6" t="s">
        <v>1429</v>
      </c>
      <c r="AA41" s="6" t="s">
        <v>1430</v>
      </c>
      <c r="AB41">
        <v>1</v>
      </c>
      <c r="AC41" s="6" t="s">
        <v>1431</v>
      </c>
      <c r="AD41" s="6" t="s">
        <v>1432</v>
      </c>
      <c r="AE41">
        <v>1</v>
      </c>
      <c r="AF41" s="6" t="s">
        <v>1433</v>
      </c>
      <c r="AG41" s="6" t="s">
        <v>1434</v>
      </c>
      <c r="AH41">
        <v>1</v>
      </c>
      <c r="AI41" s="6" t="s">
        <v>1435</v>
      </c>
      <c r="AJ41" s="6" t="s">
        <v>1436</v>
      </c>
      <c r="AK41" s="6" t="s">
        <v>1437</v>
      </c>
      <c r="AL41" s="6" t="s">
        <v>1438</v>
      </c>
      <c r="AM41" s="6" t="s">
        <v>1439</v>
      </c>
      <c r="AN41" s="6" t="s">
        <v>1440</v>
      </c>
      <c r="AO41" s="6" t="s">
        <v>1441</v>
      </c>
      <c r="AP41" s="6" t="s">
        <v>1442</v>
      </c>
      <c r="AQ41" s="6" t="s">
        <v>1443</v>
      </c>
      <c r="AR41" s="6" t="s">
        <v>1444</v>
      </c>
      <c r="AS41" s="6" t="s">
        <v>1445</v>
      </c>
      <c r="AT41" s="6" t="s">
        <v>1446</v>
      </c>
    </row>
    <row r="42" ht="13.5" spans="1:46">
      <c r="A42" t="s">
        <v>1447</v>
      </c>
      <c r="B42">
        <v>1</v>
      </c>
      <c r="C42" t="s">
        <v>1448</v>
      </c>
      <c r="D42" t="s">
        <v>1449</v>
      </c>
      <c r="E42" t="s">
        <v>1450</v>
      </c>
      <c r="F42" t="s">
        <v>1451</v>
      </c>
      <c r="G42" t="s">
        <v>659</v>
      </c>
      <c r="H42" t="s">
        <v>1452</v>
      </c>
      <c r="I42" t="s">
        <v>1453</v>
      </c>
      <c r="J42" t="s">
        <v>1454</v>
      </c>
      <c r="K42" t="s">
        <v>1455</v>
      </c>
      <c r="L42" t="s">
        <v>1456</v>
      </c>
      <c r="M42" t="s">
        <v>236</v>
      </c>
      <c r="N42" s="6" t="s">
        <v>1457</v>
      </c>
      <c r="O42" s="6" t="s">
        <v>1458</v>
      </c>
      <c r="P42" s="6" t="s">
        <v>1459</v>
      </c>
      <c r="Q42">
        <v>29</v>
      </c>
      <c r="R42">
        <v>0.0063977377</v>
      </c>
      <c r="S42" s="6" t="s">
        <v>1460</v>
      </c>
      <c r="T42">
        <v>6</v>
      </c>
      <c r="U42" s="3">
        <v>98</v>
      </c>
      <c r="V42" s="4" t="str">
        <f>IF(U42&gt;=[1]评分标准!$B$5,[1]评分标准!$A$5,IF(U42&gt;=[1]评分标准!$B$6,[1]评分标准!$A$6,IF(U42&gt;=[1]评分标准!$B$7,[1]评分标准!$A$7,IF(U42&gt;=[1]评分标准!$B$8,[1]评分标准!$A$8,[1]评分标准!$A$9))))</f>
        <v>高度相似</v>
      </c>
      <c r="W42" s="6" t="s">
        <v>1461</v>
      </c>
      <c r="X42" s="6" t="s">
        <v>1462</v>
      </c>
      <c r="Y42">
        <v>1</v>
      </c>
      <c r="Z42" s="6" t="s">
        <v>1463</v>
      </c>
      <c r="AA42" s="6" t="s">
        <v>1464</v>
      </c>
      <c r="AB42">
        <v>1</v>
      </c>
      <c r="AC42" s="6" t="s">
        <v>1465</v>
      </c>
      <c r="AD42" s="6" t="s">
        <v>1466</v>
      </c>
      <c r="AE42">
        <v>1</v>
      </c>
      <c r="AF42" s="6" t="s">
        <v>1467</v>
      </c>
      <c r="AG42" s="6" t="s">
        <v>1468</v>
      </c>
      <c r="AH42">
        <v>1</v>
      </c>
      <c r="AI42" s="6" t="s">
        <v>1469</v>
      </c>
      <c r="AJ42" s="6" t="s">
        <v>1470</v>
      </c>
      <c r="AK42" s="6" t="s">
        <v>1471</v>
      </c>
      <c r="AL42" s="6" t="s">
        <v>1472</v>
      </c>
      <c r="AM42" s="6" t="s">
        <v>1473</v>
      </c>
      <c r="AN42" s="6" t="s">
        <v>1474</v>
      </c>
      <c r="AO42" s="6" t="s">
        <v>1475</v>
      </c>
      <c r="AP42" s="6" t="s">
        <v>1476</v>
      </c>
      <c r="AQ42" s="6" t="s">
        <v>1477</v>
      </c>
      <c r="AR42" s="6" t="s">
        <v>1478</v>
      </c>
      <c r="AS42" s="6" t="s">
        <v>1479</v>
      </c>
      <c r="AT42" s="6" t="s">
        <v>1480</v>
      </c>
    </row>
    <row r="43" ht="13.5" spans="1:46">
      <c r="A43" t="s">
        <v>1481</v>
      </c>
      <c r="B43">
        <v>1</v>
      </c>
      <c r="C43" t="s">
        <v>1482</v>
      </c>
      <c r="D43" t="s">
        <v>1483</v>
      </c>
      <c r="E43" t="s">
        <v>1484</v>
      </c>
      <c r="F43" t="s">
        <v>838</v>
      </c>
      <c r="G43" t="s">
        <v>659</v>
      </c>
      <c r="H43" t="s">
        <v>1485</v>
      </c>
      <c r="I43" t="s">
        <v>1453</v>
      </c>
      <c r="J43" t="s">
        <v>1486</v>
      </c>
      <c r="K43" t="s">
        <v>1487</v>
      </c>
      <c r="L43" t="s">
        <v>1488</v>
      </c>
      <c r="M43" t="s">
        <v>593</v>
      </c>
      <c r="N43" s="6" t="s">
        <v>1489</v>
      </c>
      <c r="O43" s="6" t="s">
        <v>1490</v>
      </c>
      <c r="P43" s="6" t="s">
        <v>1491</v>
      </c>
      <c r="Q43">
        <v>32</v>
      </c>
      <c r="R43">
        <v>0.00630897</v>
      </c>
      <c r="S43" s="6" t="s">
        <v>1492</v>
      </c>
      <c r="T43">
        <v>7</v>
      </c>
      <c r="U43" s="3">
        <v>98</v>
      </c>
      <c r="V43" s="4" t="str">
        <f>IF(U43&gt;=[1]评分标准!$B$5,[1]评分标准!$A$5,IF(U43&gt;=[1]评分标准!$B$6,[1]评分标准!$A$6,IF(U43&gt;=[1]评分标准!$B$7,[1]评分标准!$A$7,IF(U43&gt;=[1]评分标准!$B$8,[1]评分标准!$A$8,[1]评分标准!$A$9))))</f>
        <v>高度相似</v>
      </c>
      <c r="W43" s="6" t="s">
        <v>1493</v>
      </c>
      <c r="X43" s="6" t="s">
        <v>1494</v>
      </c>
      <c r="Y43">
        <v>1</v>
      </c>
      <c r="Z43" s="6" t="s">
        <v>1495</v>
      </c>
      <c r="AA43" s="6" t="s">
        <v>1496</v>
      </c>
      <c r="AB43">
        <v>1</v>
      </c>
      <c r="AC43" s="6" t="s">
        <v>1497</v>
      </c>
      <c r="AD43" s="6" t="s">
        <v>1498</v>
      </c>
      <c r="AE43">
        <v>1</v>
      </c>
      <c r="AF43" s="6" t="s">
        <v>1499</v>
      </c>
      <c r="AG43" s="6" t="s">
        <v>1500</v>
      </c>
      <c r="AH43">
        <v>1</v>
      </c>
      <c r="AI43" s="6" t="s">
        <v>1501</v>
      </c>
      <c r="AJ43" s="6" t="s">
        <v>1502</v>
      </c>
      <c r="AK43" s="6" t="s">
        <v>1503</v>
      </c>
      <c r="AL43" s="6" t="s">
        <v>1504</v>
      </c>
      <c r="AM43" s="6" t="s">
        <v>1505</v>
      </c>
      <c r="AN43" s="6" t="s">
        <v>1506</v>
      </c>
      <c r="AO43" s="6" t="s">
        <v>1507</v>
      </c>
      <c r="AP43" s="6" t="s">
        <v>1508</v>
      </c>
      <c r="AQ43" s="6" t="s">
        <v>1509</v>
      </c>
      <c r="AR43" s="6" t="s">
        <v>1510</v>
      </c>
      <c r="AS43" s="6" t="s">
        <v>1511</v>
      </c>
      <c r="AT43" s="6" t="s">
        <v>1512</v>
      </c>
    </row>
    <row r="44" ht="13.5" spans="1:46">
      <c r="A44" t="s">
        <v>1513</v>
      </c>
      <c r="B44">
        <v>1</v>
      </c>
      <c r="C44" t="s">
        <v>1514</v>
      </c>
      <c r="D44" t="s">
        <v>1515</v>
      </c>
      <c r="E44" t="s">
        <v>1516</v>
      </c>
      <c r="F44" t="s">
        <v>1517</v>
      </c>
      <c r="G44" t="s">
        <v>1315</v>
      </c>
      <c r="H44" t="s">
        <v>1518</v>
      </c>
      <c r="I44" t="s">
        <v>1072</v>
      </c>
      <c r="J44" t="s">
        <v>1519</v>
      </c>
      <c r="K44" t="s">
        <v>1520</v>
      </c>
      <c r="L44" t="s">
        <v>1521</v>
      </c>
      <c r="M44" t="s">
        <v>273</v>
      </c>
      <c r="N44" s="6" t="s">
        <v>1522</v>
      </c>
      <c r="O44" s="6" t="s">
        <v>1523</v>
      </c>
      <c r="P44" s="6" t="s">
        <v>1524</v>
      </c>
      <c r="Q44">
        <v>19</v>
      </c>
      <c r="R44">
        <v>0.029335365</v>
      </c>
      <c r="S44" s="6" t="s">
        <v>1525</v>
      </c>
      <c r="T44">
        <v>1</v>
      </c>
      <c r="U44" s="3">
        <v>98</v>
      </c>
      <c r="V44" s="4" t="str">
        <f>IF(U44&gt;=[1]评分标准!$B$5,[1]评分标准!$A$5,IF(U44&gt;=[1]评分标准!$B$6,[1]评分标准!$A$6,IF(U44&gt;=[1]评分标准!$B$7,[1]评分标准!$A$7,IF(U44&gt;=[1]评分标准!$B$8,[1]评分标准!$A$8,[1]评分标准!$A$9))))</f>
        <v>高度相似</v>
      </c>
      <c r="W44" s="6" t="s">
        <v>1526</v>
      </c>
      <c r="X44" s="6" t="s">
        <v>1527</v>
      </c>
      <c r="Y44">
        <v>1</v>
      </c>
      <c r="Z44" s="6" t="s">
        <v>1528</v>
      </c>
      <c r="AA44" s="6" t="s">
        <v>1529</v>
      </c>
      <c r="AB44">
        <v>1</v>
      </c>
      <c r="AC44" s="6" t="s">
        <v>1530</v>
      </c>
      <c r="AD44" s="6" t="s">
        <v>1531</v>
      </c>
      <c r="AE44">
        <v>1</v>
      </c>
      <c r="AF44" s="6" t="s">
        <v>1532</v>
      </c>
      <c r="AG44" s="6" t="s">
        <v>1533</v>
      </c>
      <c r="AH44">
        <v>1</v>
      </c>
      <c r="AI44" s="6" t="s">
        <v>1534</v>
      </c>
      <c r="AJ44" s="6" t="s">
        <v>1535</v>
      </c>
      <c r="AK44" s="6" t="s">
        <v>1536</v>
      </c>
      <c r="AL44" s="6" t="s">
        <v>1537</v>
      </c>
      <c r="AM44" s="6" t="s">
        <v>1538</v>
      </c>
      <c r="AN44" s="6" t="s">
        <v>1539</v>
      </c>
      <c r="AO44" s="6" t="s">
        <v>1540</v>
      </c>
      <c r="AP44" s="6" t="s">
        <v>1541</v>
      </c>
      <c r="AQ44" s="6" t="s">
        <v>1542</v>
      </c>
      <c r="AR44" s="6" t="s">
        <v>1543</v>
      </c>
      <c r="AS44" s="6" t="s">
        <v>1544</v>
      </c>
      <c r="AT44" s="6" t="s">
        <v>1545</v>
      </c>
    </row>
    <row r="45" ht="13.5" spans="1:46">
      <c r="A45" t="s">
        <v>1546</v>
      </c>
      <c r="B45">
        <v>1</v>
      </c>
      <c r="C45" t="s">
        <v>1547</v>
      </c>
      <c r="D45" t="s">
        <v>1548</v>
      </c>
      <c r="E45" t="s">
        <v>1549</v>
      </c>
      <c r="F45" t="s">
        <v>331</v>
      </c>
      <c r="G45" t="s">
        <v>50</v>
      </c>
      <c r="H45" t="s">
        <v>1550</v>
      </c>
      <c r="I45" t="s">
        <v>1146</v>
      </c>
      <c r="J45" t="s">
        <v>1551</v>
      </c>
      <c r="K45" t="s">
        <v>1552</v>
      </c>
      <c r="L45" t="s">
        <v>1553</v>
      </c>
      <c r="M45" t="s">
        <v>57</v>
      </c>
      <c r="N45" s="6" t="s">
        <v>1554</v>
      </c>
      <c r="O45" s="6" t="s">
        <v>1555</v>
      </c>
      <c r="P45" s="6" t="s">
        <v>1556</v>
      </c>
      <c r="Q45">
        <v>32</v>
      </c>
      <c r="R45">
        <v>0.013328932</v>
      </c>
      <c r="S45" s="6" t="s">
        <v>1557</v>
      </c>
      <c r="T45">
        <v>5</v>
      </c>
      <c r="U45" s="3">
        <v>82</v>
      </c>
      <c r="V45" s="4" t="str">
        <f>IF(U45&gt;=[1]评分标准!$B$5,[1]评分标准!$A$5,IF(U45&gt;=[1]评分标准!$B$6,[1]评分标准!$A$6,IF(U45&gt;=[1]评分标准!$B$7,[1]评分标准!$A$7,IF(U45&gt;=[1]评分标准!$B$8,[1]评分标准!$A$8,[1]评分标准!$A$9))))</f>
        <v>较高相似</v>
      </c>
      <c r="W45" s="6" t="s">
        <v>1558</v>
      </c>
      <c r="X45" s="6" t="s">
        <v>1559</v>
      </c>
      <c r="Y45">
        <v>1</v>
      </c>
      <c r="Z45" s="6" t="s">
        <v>1560</v>
      </c>
      <c r="AA45" s="6" t="s">
        <v>1561</v>
      </c>
      <c r="AB45">
        <v>1</v>
      </c>
      <c r="AC45" s="6" t="s">
        <v>1562</v>
      </c>
      <c r="AD45" s="6" t="s">
        <v>1563</v>
      </c>
      <c r="AE45">
        <v>1</v>
      </c>
      <c r="AF45" s="6" t="s">
        <v>1564</v>
      </c>
      <c r="AG45" s="6" t="s">
        <v>1565</v>
      </c>
      <c r="AH45">
        <v>1</v>
      </c>
      <c r="AI45" s="6" t="s">
        <v>1566</v>
      </c>
      <c r="AJ45" s="6" t="s">
        <v>1567</v>
      </c>
      <c r="AK45" s="6" t="s">
        <v>1568</v>
      </c>
      <c r="AL45" s="6" t="s">
        <v>1569</v>
      </c>
      <c r="AM45" s="6" t="s">
        <v>1570</v>
      </c>
      <c r="AN45" s="6" t="s">
        <v>1571</v>
      </c>
      <c r="AO45" s="6" t="s">
        <v>1572</v>
      </c>
      <c r="AP45" s="6" t="s">
        <v>1573</v>
      </c>
      <c r="AQ45" s="6" t="s">
        <v>1574</v>
      </c>
      <c r="AR45" s="6" t="s">
        <v>1575</v>
      </c>
      <c r="AS45" s="6" t="s">
        <v>1576</v>
      </c>
      <c r="AT45" s="6" t="s">
        <v>1577</v>
      </c>
    </row>
    <row r="46" ht="13.5" spans="1:46">
      <c r="A46" t="s">
        <v>1578</v>
      </c>
      <c r="B46">
        <v>1</v>
      </c>
      <c r="C46" t="s">
        <v>1579</v>
      </c>
      <c r="D46" t="s">
        <v>1580</v>
      </c>
      <c r="E46" t="s">
        <v>1581</v>
      </c>
      <c r="F46" t="s">
        <v>88</v>
      </c>
      <c r="G46" t="s">
        <v>1582</v>
      </c>
      <c r="H46" t="s">
        <v>1583</v>
      </c>
      <c r="I46" t="s">
        <v>126</v>
      </c>
      <c r="J46" t="s">
        <v>1581</v>
      </c>
      <c r="K46" t="s">
        <v>1584</v>
      </c>
      <c r="L46" t="s">
        <v>1585</v>
      </c>
      <c r="M46" t="s">
        <v>843</v>
      </c>
      <c r="N46" s="6" t="s">
        <v>1586</v>
      </c>
      <c r="O46" s="6" t="s">
        <v>1587</v>
      </c>
      <c r="P46" s="6" t="s">
        <v>1588</v>
      </c>
      <c r="Q46">
        <v>16</v>
      </c>
      <c r="R46">
        <v>0.033048674</v>
      </c>
      <c r="S46" s="6" t="s">
        <v>1589</v>
      </c>
      <c r="T46">
        <v>4</v>
      </c>
      <c r="U46" s="3">
        <v>98</v>
      </c>
      <c r="V46" s="4" t="str">
        <f>IF(U46&gt;=[1]评分标准!$B$5,[1]评分标准!$A$5,IF(U46&gt;=[1]评分标准!$B$6,[1]评分标准!$A$6,IF(U46&gt;=[1]评分标准!$B$7,[1]评分标准!$A$7,IF(U46&gt;=[1]评分标准!$B$8,[1]评分标准!$A$8,[1]评分标准!$A$9))))</f>
        <v>高度相似</v>
      </c>
      <c r="W46" s="6" t="s">
        <v>1590</v>
      </c>
      <c r="X46" s="6" t="s">
        <v>1591</v>
      </c>
      <c r="Y46">
        <v>1</v>
      </c>
      <c r="Z46" s="6" t="s">
        <v>1592</v>
      </c>
      <c r="AA46" s="6" t="s">
        <v>1593</v>
      </c>
      <c r="AB46">
        <v>1</v>
      </c>
      <c r="AC46" s="6" t="s">
        <v>1594</v>
      </c>
      <c r="AD46" s="6" t="s">
        <v>1595</v>
      </c>
      <c r="AE46">
        <v>1</v>
      </c>
      <c r="AF46" s="6" t="s">
        <v>1596</v>
      </c>
      <c r="AG46" s="6" t="s">
        <v>1597</v>
      </c>
      <c r="AH46">
        <v>1</v>
      </c>
      <c r="AI46" s="6" t="s">
        <v>1598</v>
      </c>
      <c r="AJ46" s="6" t="s">
        <v>1599</v>
      </c>
      <c r="AK46" s="6" t="s">
        <v>1600</v>
      </c>
      <c r="AL46" s="6" t="s">
        <v>1601</v>
      </c>
      <c r="AM46" s="6" t="s">
        <v>1602</v>
      </c>
      <c r="AN46" s="6" t="s">
        <v>1603</v>
      </c>
      <c r="AO46" s="6" t="s">
        <v>1604</v>
      </c>
      <c r="AP46" s="6" t="s">
        <v>1605</v>
      </c>
      <c r="AQ46" s="6" t="s">
        <v>1606</v>
      </c>
      <c r="AR46" s="6" t="s">
        <v>1607</v>
      </c>
      <c r="AS46" s="6" t="s">
        <v>1608</v>
      </c>
      <c r="AT46" s="6" t="s">
        <v>1609</v>
      </c>
    </row>
    <row r="47" ht="13.5" spans="1:46">
      <c r="A47" t="s">
        <v>1610</v>
      </c>
      <c r="B47">
        <v>1</v>
      </c>
      <c r="C47" t="s">
        <v>1611</v>
      </c>
      <c r="D47" t="s">
        <v>1612</v>
      </c>
      <c r="E47" t="s">
        <v>1613</v>
      </c>
      <c r="F47" t="s">
        <v>331</v>
      </c>
      <c r="G47" t="s">
        <v>268</v>
      </c>
      <c r="H47" t="s">
        <v>1614</v>
      </c>
      <c r="I47" t="s">
        <v>1615</v>
      </c>
      <c r="J47" t="s">
        <v>1616</v>
      </c>
      <c r="K47" t="s">
        <v>1617</v>
      </c>
      <c r="L47" t="s">
        <v>1618</v>
      </c>
      <c r="M47" t="s">
        <v>236</v>
      </c>
      <c r="N47" s="6" t="s">
        <v>1619</v>
      </c>
      <c r="O47" s="6" t="s">
        <v>1620</v>
      </c>
      <c r="P47" s="6" t="s">
        <v>1621</v>
      </c>
      <c r="Q47">
        <v>18</v>
      </c>
      <c r="R47">
        <v>0.0021171796</v>
      </c>
      <c r="S47" s="6" t="s">
        <v>1622</v>
      </c>
      <c r="T47">
        <v>3</v>
      </c>
      <c r="U47" s="3">
        <v>98</v>
      </c>
      <c r="V47" s="4" t="str">
        <f>IF(U47&gt;=[1]评分标准!$B$5,[1]评分标准!$A$5,IF(U47&gt;=[1]评分标准!$B$6,[1]评分标准!$A$6,IF(U47&gt;=[1]评分标准!$B$7,[1]评分标准!$A$7,IF(U47&gt;=[1]评分标准!$B$8,[1]评分标准!$A$8,[1]评分标准!$A$9))))</f>
        <v>高度相似</v>
      </c>
      <c r="W47" s="6" t="s">
        <v>1623</v>
      </c>
      <c r="X47" s="6" t="s">
        <v>1624</v>
      </c>
      <c r="Y47">
        <v>1</v>
      </c>
      <c r="Z47" s="6" t="s">
        <v>1625</v>
      </c>
      <c r="AA47" s="6" t="s">
        <v>1626</v>
      </c>
      <c r="AB47">
        <v>1</v>
      </c>
      <c r="AC47" s="6" t="s">
        <v>1627</v>
      </c>
      <c r="AD47" s="6" t="s">
        <v>1628</v>
      </c>
      <c r="AE47">
        <v>1</v>
      </c>
      <c r="AF47" s="6" t="s">
        <v>1629</v>
      </c>
      <c r="AG47" s="6" t="s">
        <v>1630</v>
      </c>
      <c r="AH47">
        <v>1</v>
      </c>
      <c r="AI47" s="6" t="s">
        <v>1631</v>
      </c>
      <c r="AJ47" s="6" t="s">
        <v>1632</v>
      </c>
      <c r="AK47" s="6" t="s">
        <v>1633</v>
      </c>
      <c r="AL47" s="6" t="s">
        <v>1634</v>
      </c>
      <c r="AM47" s="6" t="s">
        <v>1635</v>
      </c>
      <c r="AN47" s="6" t="s">
        <v>1636</v>
      </c>
      <c r="AO47" s="6" t="s">
        <v>1637</v>
      </c>
      <c r="AP47" s="6" t="s">
        <v>1638</v>
      </c>
      <c r="AQ47" s="6" t="s">
        <v>1639</v>
      </c>
      <c r="AR47" s="6" t="s">
        <v>1640</v>
      </c>
      <c r="AS47" s="6" t="s">
        <v>1641</v>
      </c>
      <c r="AT47" s="6" t="s">
        <v>1642</v>
      </c>
    </row>
    <row r="48" ht="13.5" spans="1:46">
      <c r="A48" t="s">
        <v>1643</v>
      </c>
      <c r="B48">
        <v>1</v>
      </c>
      <c r="C48" t="s">
        <v>1644</v>
      </c>
      <c r="D48" t="s">
        <v>1645</v>
      </c>
      <c r="E48" t="s">
        <v>1646</v>
      </c>
      <c r="F48" t="s">
        <v>123</v>
      </c>
      <c r="G48" t="s">
        <v>1647</v>
      </c>
      <c r="H48" t="s">
        <v>1648</v>
      </c>
      <c r="I48" t="s">
        <v>126</v>
      </c>
      <c r="J48" t="s">
        <v>1646</v>
      </c>
      <c r="K48" t="s">
        <v>1649</v>
      </c>
      <c r="L48" t="s">
        <v>1650</v>
      </c>
      <c r="M48" t="s">
        <v>273</v>
      </c>
      <c r="N48" s="6" t="s">
        <v>1651</v>
      </c>
      <c r="O48" s="6" t="s">
        <v>1652</v>
      </c>
      <c r="P48">
        <v>-0.0004922158310222</v>
      </c>
      <c r="Q48">
        <v>11</v>
      </c>
      <c r="R48">
        <v>0.010007437</v>
      </c>
      <c r="S48" s="6" t="s">
        <v>1653</v>
      </c>
      <c r="T48">
        <v>5</v>
      </c>
      <c r="U48" s="3">
        <v>98</v>
      </c>
      <c r="V48" s="4" t="str">
        <f>IF(U48&gt;=[1]评分标准!$B$5,[1]评分标准!$A$5,IF(U48&gt;=[1]评分标准!$B$6,[1]评分标准!$A$6,IF(U48&gt;=[1]评分标准!$B$7,[1]评分标准!$A$7,IF(U48&gt;=[1]评分标准!$B$8,[1]评分标准!$A$8,[1]评分标准!$A$9))))</f>
        <v>高度相似</v>
      </c>
      <c r="W48" s="6" t="s">
        <v>1654</v>
      </c>
      <c r="X48" s="6" t="s">
        <v>1655</v>
      </c>
      <c r="Y48">
        <v>1</v>
      </c>
      <c r="Z48" s="6" t="s">
        <v>1656</v>
      </c>
      <c r="AA48" s="6" t="s">
        <v>1657</v>
      </c>
      <c r="AB48">
        <v>1</v>
      </c>
      <c r="AC48" s="6" t="s">
        <v>1658</v>
      </c>
      <c r="AD48" s="6" t="s">
        <v>1659</v>
      </c>
      <c r="AE48">
        <v>1</v>
      </c>
      <c r="AF48" s="6" t="s">
        <v>1660</v>
      </c>
      <c r="AG48" s="6" t="s">
        <v>1661</v>
      </c>
      <c r="AH48">
        <v>1</v>
      </c>
      <c r="AI48" s="6" t="s">
        <v>1662</v>
      </c>
      <c r="AJ48" s="6" t="s">
        <v>1663</v>
      </c>
      <c r="AK48" s="6" t="s">
        <v>1664</v>
      </c>
      <c r="AL48" s="6" t="s">
        <v>1665</v>
      </c>
      <c r="AM48" s="6" t="s">
        <v>1666</v>
      </c>
      <c r="AN48" s="6" t="s">
        <v>1667</v>
      </c>
      <c r="AO48" s="6" t="s">
        <v>1668</v>
      </c>
      <c r="AP48" s="6" t="s">
        <v>1669</v>
      </c>
      <c r="AQ48" s="6" t="s">
        <v>1670</v>
      </c>
      <c r="AR48" s="6" t="s">
        <v>1671</v>
      </c>
      <c r="AS48" s="6" t="s">
        <v>1672</v>
      </c>
      <c r="AT48" s="6" t="s">
        <v>1673</v>
      </c>
    </row>
    <row r="49" ht="13.5" spans="1:46">
      <c r="A49" t="s">
        <v>1674</v>
      </c>
      <c r="B49">
        <v>1</v>
      </c>
      <c r="C49" t="s">
        <v>1675</v>
      </c>
      <c r="D49" t="s">
        <v>1676</v>
      </c>
      <c r="E49" t="s">
        <v>1677</v>
      </c>
      <c r="F49" t="s">
        <v>659</v>
      </c>
      <c r="G49" t="s">
        <v>1451</v>
      </c>
      <c r="H49" t="s">
        <v>1678</v>
      </c>
      <c r="I49" t="s">
        <v>1679</v>
      </c>
      <c r="J49" t="s">
        <v>1680</v>
      </c>
      <c r="K49" t="s">
        <v>1681</v>
      </c>
      <c r="L49" t="s">
        <v>1682</v>
      </c>
      <c r="M49" t="s">
        <v>57</v>
      </c>
      <c r="N49" s="6" t="s">
        <v>1683</v>
      </c>
      <c r="O49" s="6" t="s">
        <v>1684</v>
      </c>
      <c r="P49" s="6" t="s">
        <v>1685</v>
      </c>
      <c r="Q49">
        <v>31</v>
      </c>
      <c r="R49">
        <v>91.68576</v>
      </c>
      <c r="S49" s="6" t="s">
        <v>1686</v>
      </c>
      <c r="T49">
        <v>4</v>
      </c>
      <c r="U49" s="3">
        <v>20</v>
      </c>
      <c r="V49" s="4" t="str">
        <f>IF(U49&gt;=[1]评分标准!$B$5,[1]评分标准!$A$5,IF(U49&gt;=[1]评分标准!$B$6,[1]评分标准!$A$6,IF(U49&gt;=[1]评分标准!$B$7,[1]评分标准!$A$7,IF(U49&gt;=[1]评分标准!$B$8,[1]评分标准!$A$8,[1]评分标准!$A$9))))</f>
        <v>不相似</v>
      </c>
      <c r="W49" s="6" t="s">
        <v>1687</v>
      </c>
      <c r="X49" s="6" t="s">
        <v>1688</v>
      </c>
      <c r="Y49" s="6" t="s">
        <v>1689</v>
      </c>
      <c r="Z49" s="6" t="s">
        <v>1690</v>
      </c>
      <c r="AA49" s="6" t="s">
        <v>1690</v>
      </c>
      <c r="AB49" s="5">
        <v>-1e+100</v>
      </c>
      <c r="AC49" s="6" t="s">
        <v>1690</v>
      </c>
      <c r="AD49" s="6" t="s">
        <v>1690</v>
      </c>
      <c r="AE49" s="5">
        <v>-1e+100</v>
      </c>
      <c r="AF49" s="6" t="s">
        <v>1691</v>
      </c>
      <c r="AG49" s="6" t="s">
        <v>1692</v>
      </c>
      <c r="AH49" s="6" t="s">
        <v>1693</v>
      </c>
      <c r="AI49" s="6" t="s">
        <v>1694</v>
      </c>
      <c r="AJ49" s="6" t="s">
        <v>1695</v>
      </c>
      <c r="AK49" s="6" t="s">
        <v>1696</v>
      </c>
      <c r="AL49" s="6" t="s">
        <v>1697</v>
      </c>
      <c r="AM49" s="6" t="s">
        <v>1698</v>
      </c>
      <c r="AN49" s="6" t="s">
        <v>1699</v>
      </c>
      <c r="AO49" s="6" t="s">
        <v>1700</v>
      </c>
      <c r="AP49" s="6" t="s">
        <v>1701</v>
      </c>
      <c r="AQ49" s="6" t="s">
        <v>1702</v>
      </c>
      <c r="AR49" s="6" t="s">
        <v>1703</v>
      </c>
      <c r="AS49" s="6" t="s">
        <v>1704</v>
      </c>
      <c r="AT49" s="6" t="s">
        <v>1705</v>
      </c>
    </row>
    <row r="50" ht="13.5" spans="1:46">
      <c r="A50" t="s">
        <v>1706</v>
      </c>
      <c r="B50">
        <v>1</v>
      </c>
      <c r="C50" t="s">
        <v>1707</v>
      </c>
      <c r="D50" t="s">
        <v>1708</v>
      </c>
      <c r="E50" t="s">
        <v>1709</v>
      </c>
      <c r="F50" t="s">
        <v>897</v>
      </c>
      <c r="G50" t="s">
        <v>123</v>
      </c>
      <c r="H50" t="s">
        <v>1710</v>
      </c>
      <c r="I50" t="s">
        <v>126</v>
      </c>
      <c r="J50" t="s">
        <v>1711</v>
      </c>
      <c r="K50" t="s">
        <v>1712</v>
      </c>
      <c r="L50" t="s">
        <v>1713</v>
      </c>
      <c r="M50" t="s">
        <v>57</v>
      </c>
      <c r="N50" s="6" t="s">
        <v>1714</v>
      </c>
      <c r="O50" s="6" t="s">
        <v>1715</v>
      </c>
      <c r="P50" s="6" t="s">
        <v>1716</v>
      </c>
      <c r="Q50">
        <v>28</v>
      </c>
      <c r="R50">
        <v>0.0014668226</v>
      </c>
      <c r="S50" s="6" t="s">
        <v>1717</v>
      </c>
      <c r="T50">
        <v>7</v>
      </c>
      <c r="U50" s="3">
        <v>90</v>
      </c>
      <c r="V50" s="4" t="str">
        <f>IF(U50&gt;=[1]评分标准!$B$5,[1]评分标准!$A$5,IF(U50&gt;=[1]评分标准!$B$6,[1]评分标准!$A$6,IF(U50&gt;=[1]评分标准!$B$7,[1]评分标准!$A$7,IF(U50&gt;=[1]评分标准!$B$8,[1]评分标准!$A$8,[1]评分标准!$A$9))))</f>
        <v>较高相似</v>
      </c>
      <c r="W50" s="6" t="s">
        <v>1718</v>
      </c>
      <c r="X50" s="6" t="s">
        <v>1719</v>
      </c>
      <c r="Y50" s="6" t="s">
        <v>1720</v>
      </c>
      <c r="Z50" s="6" t="s">
        <v>1721</v>
      </c>
      <c r="AA50" s="6" t="s">
        <v>1722</v>
      </c>
      <c r="AB50" s="6" t="s">
        <v>1723</v>
      </c>
      <c r="AC50" s="6" t="s">
        <v>1724</v>
      </c>
      <c r="AD50" s="6" t="s">
        <v>1725</v>
      </c>
      <c r="AE50" s="6" t="s">
        <v>1726</v>
      </c>
      <c r="AF50" s="6" t="s">
        <v>1727</v>
      </c>
      <c r="AG50" s="6" t="s">
        <v>1728</v>
      </c>
      <c r="AH50" s="6" t="s">
        <v>1729</v>
      </c>
      <c r="AI50" s="6" t="s">
        <v>1730</v>
      </c>
      <c r="AJ50" s="6" t="s">
        <v>1731</v>
      </c>
      <c r="AK50" s="6" t="s">
        <v>1732</v>
      </c>
      <c r="AL50" s="6" t="s">
        <v>1733</v>
      </c>
      <c r="AM50" s="6" t="s">
        <v>1734</v>
      </c>
      <c r="AN50" s="6" t="s">
        <v>1735</v>
      </c>
      <c r="AO50" s="6" t="s">
        <v>1736</v>
      </c>
      <c r="AP50" s="6" t="s">
        <v>1737</v>
      </c>
      <c r="AQ50" s="6" t="s">
        <v>1738</v>
      </c>
      <c r="AR50" s="6" t="s">
        <v>1739</v>
      </c>
      <c r="AS50" s="6" t="s">
        <v>1740</v>
      </c>
      <c r="AT50" s="6" t="s">
        <v>1741</v>
      </c>
    </row>
    <row r="51" ht="13.5" spans="1:46">
      <c r="A51" t="s">
        <v>1742</v>
      </c>
      <c r="B51">
        <v>1</v>
      </c>
      <c r="C51" t="s">
        <v>1743</v>
      </c>
      <c r="D51" t="s">
        <v>1744</v>
      </c>
      <c r="E51" t="s">
        <v>1745</v>
      </c>
      <c r="F51" t="s">
        <v>1746</v>
      </c>
      <c r="G51" t="s">
        <v>1647</v>
      </c>
      <c r="H51" t="s">
        <v>1747</v>
      </c>
      <c r="I51" t="s">
        <v>126</v>
      </c>
      <c r="J51" t="s">
        <v>1745</v>
      </c>
      <c r="K51" t="s">
        <v>1748</v>
      </c>
      <c r="L51" t="s">
        <v>1749</v>
      </c>
      <c r="M51" t="s">
        <v>593</v>
      </c>
      <c r="N51" s="6" t="s">
        <v>1750</v>
      </c>
      <c r="O51" s="6" t="s">
        <v>1751</v>
      </c>
      <c r="P51">
        <v>-0.0005363922384998</v>
      </c>
      <c r="Q51">
        <v>31</v>
      </c>
      <c r="R51">
        <v>0.0008653653</v>
      </c>
      <c r="S51" s="6" t="s">
        <v>1752</v>
      </c>
      <c r="T51">
        <v>5</v>
      </c>
      <c r="U51" s="3">
        <v>98</v>
      </c>
      <c r="V51" s="4" t="str">
        <f>IF(U51&gt;=[1]评分标准!$B$5,[1]评分标准!$A$5,IF(U51&gt;=[1]评分标准!$B$6,[1]评分标准!$A$6,IF(U51&gt;=[1]评分标准!$B$7,[1]评分标准!$A$7,IF(U51&gt;=[1]评分标准!$B$8,[1]评分标准!$A$8,[1]评分标准!$A$9))))</f>
        <v>高度相似</v>
      </c>
      <c r="W51" s="6" t="s">
        <v>1690</v>
      </c>
      <c r="X51" s="6" t="s">
        <v>1690</v>
      </c>
      <c r="Y51" s="5">
        <v>-1e+100</v>
      </c>
      <c r="Z51" s="6" t="s">
        <v>1753</v>
      </c>
      <c r="AA51" s="6" t="s">
        <v>1754</v>
      </c>
      <c r="AB51" s="6" t="s">
        <v>1755</v>
      </c>
      <c r="AC51" s="6" t="s">
        <v>1756</v>
      </c>
      <c r="AD51" s="6" t="s">
        <v>1757</v>
      </c>
      <c r="AE51">
        <v>-7.42421414203492</v>
      </c>
      <c r="AF51" s="6" t="s">
        <v>1758</v>
      </c>
      <c r="AG51" s="6" t="s">
        <v>1759</v>
      </c>
      <c r="AH51" s="6" t="s">
        <v>1760</v>
      </c>
      <c r="AI51" s="6" t="s">
        <v>1761</v>
      </c>
      <c r="AJ51" s="6" t="s">
        <v>1762</v>
      </c>
      <c r="AK51">
        <v>-2.0915329845838</v>
      </c>
      <c r="AL51" s="6" t="s">
        <v>1763</v>
      </c>
      <c r="AM51" s="6" t="s">
        <v>1764</v>
      </c>
      <c r="AN51" s="6" t="s">
        <v>1765</v>
      </c>
      <c r="AO51" s="6" t="s">
        <v>1766</v>
      </c>
      <c r="AP51" s="6" t="s">
        <v>1767</v>
      </c>
      <c r="AQ51" s="6" t="s">
        <v>1768</v>
      </c>
      <c r="AR51" s="6" t="s">
        <v>1769</v>
      </c>
      <c r="AS51" s="6" t="s">
        <v>1770</v>
      </c>
      <c r="AT51">
        <v>-0.922702595718921</v>
      </c>
    </row>
    <row r="52" ht="13.5" spans="1:46">
      <c r="A52" t="s">
        <v>1771</v>
      </c>
      <c r="B52">
        <v>1</v>
      </c>
      <c r="C52" t="s">
        <v>1772</v>
      </c>
      <c r="D52" t="s">
        <v>1773</v>
      </c>
      <c r="E52" t="s">
        <v>1774</v>
      </c>
      <c r="F52" t="s">
        <v>123</v>
      </c>
      <c r="G52" t="s">
        <v>1775</v>
      </c>
      <c r="H52" t="s">
        <v>1776</v>
      </c>
      <c r="I52" t="s">
        <v>126</v>
      </c>
      <c r="J52" t="s">
        <v>1777</v>
      </c>
      <c r="K52" t="s">
        <v>1778</v>
      </c>
      <c r="L52" t="s">
        <v>1779</v>
      </c>
      <c r="M52" t="s">
        <v>1780</v>
      </c>
      <c r="N52" s="6" t="s">
        <v>1781</v>
      </c>
      <c r="O52" s="6" t="s">
        <v>1782</v>
      </c>
      <c r="P52">
        <v>-1.00990964265732</v>
      </c>
      <c r="Q52">
        <v>35</v>
      </c>
      <c r="R52">
        <v>0.0021245503</v>
      </c>
      <c r="S52" s="6" t="s">
        <v>1783</v>
      </c>
      <c r="T52">
        <v>2</v>
      </c>
      <c r="U52" s="3">
        <v>35</v>
      </c>
      <c r="V52" s="4" t="str">
        <f>IF(U52&gt;=[1]评分标准!$B$5,[1]评分标准!$A$5,IF(U52&gt;=[1]评分标准!$B$6,[1]评分标准!$A$6,IF(U52&gt;=[1]评分标准!$B$7,[1]评分标准!$A$7,IF(U52&gt;=[1]评分标准!$B$8,[1]评分标准!$A$8,[1]评分标准!$A$9))))</f>
        <v>不相似</v>
      </c>
      <c r="W52" s="6" t="s">
        <v>1784</v>
      </c>
      <c r="X52" s="6" t="s">
        <v>1785</v>
      </c>
      <c r="Y52" s="6" t="s">
        <v>1786</v>
      </c>
      <c r="Z52" s="6" t="s">
        <v>1787</v>
      </c>
      <c r="AA52" s="6" t="s">
        <v>1788</v>
      </c>
      <c r="AB52" s="6" t="s">
        <v>1789</v>
      </c>
      <c r="AC52" s="6" t="s">
        <v>1790</v>
      </c>
      <c r="AD52" s="6" t="s">
        <v>1791</v>
      </c>
      <c r="AE52" s="6" t="s">
        <v>1792</v>
      </c>
      <c r="AF52" s="6" t="s">
        <v>1793</v>
      </c>
      <c r="AG52" s="6" t="s">
        <v>1794</v>
      </c>
      <c r="AH52" s="6" t="s">
        <v>1795</v>
      </c>
      <c r="AI52" s="6" t="s">
        <v>1796</v>
      </c>
      <c r="AJ52" s="6" t="s">
        <v>1797</v>
      </c>
      <c r="AK52" s="6" t="s">
        <v>1798</v>
      </c>
      <c r="AL52" s="6" t="s">
        <v>1799</v>
      </c>
      <c r="AM52" s="6" t="s">
        <v>1800</v>
      </c>
      <c r="AN52" s="6" t="s">
        <v>1801</v>
      </c>
      <c r="AO52" s="6" t="s">
        <v>1802</v>
      </c>
      <c r="AP52" s="6" t="s">
        <v>1803</v>
      </c>
      <c r="AQ52" s="6" t="s">
        <v>1804</v>
      </c>
      <c r="AR52" s="6" t="s">
        <v>1805</v>
      </c>
      <c r="AS52" s="6" t="s">
        <v>1806</v>
      </c>
      <c r="AT52" s="6" t="s">
        <v>1807</v>
      </c>
    </row>
    <row r="53" ht="13.5" spans="1:46">
      <c r="A53" t="s">
        <v>1808</v>
      </c>
      <c r="B53">
        <v>1</v>
      </c>
      <c r="C53" t="s">
        <v>1809</v>
      </c>
      <c r="D53" t="s">
        <v>1810</v>
      </c>
      <c r="E53" t="e">
        <f>-LOG(x/(A*COS(omega_d*_xleta.T+phi)))/_xleta.T</f>
        <v>#NAME?</v>
      </c>
      <c r="F53" t="s">
        <v>1811</v>
      </c>
      <c r="G53" t="s">
        <v>1812</v>
      </c>
      <c r="H53" t="s">
        <v>1813</v>
      </c>
      <c r="I53" t="s">
        <v>126</v>
      </c>
      <c r="J53" t="e">
        <f>-LOG(x/(A*COS(omega_d*_xleta.T+phi)))/_xleta.T</f>
        <v>#NAME?</v>
      </c>
      <c r="K53" t="s">
        <v>1814</v>
      </c>
      <c r="L53" t="s">
        <v>1815</v>
      </c>
      <c r="M53" t="s">
        <v>57</v>
      </c>
      <c r="N53" s="6" t="s">
        <v>1816</v>
      </c>
      <c r="O53" s="6" t="s">
        <v>1817</v>
      </c>
      <c r="P53" s="6" t="s">
        <v>1818</v>
      </c>
      <c r="Q53">
        <v>27</v>
      </c>
      <c r="R53" s="6" t="s">
        <v>1819</v>
      </c>
      <c r="S53" s="6" t="s">
        <v>1820</v>
      </c>
      <c r="T53">
        <v>6</v>
      </c>
      <c r="U53" s="3">
        <v>20</v>
      </c>
      <c r="V53" s="4" t="str">
        <f>IF(U53&gt;=[1]评分标准!$B$5,[1]评分标准!$A$5,IF(U53&gt;=[1]评分标准!$B$6,[1]评分标准!$A$6,IF(U53&gt;=[1]评分标准!$B$7,[1]评分标准!$A$7,IF(U53&gt;=[1]评分标准!$B$8,[1]评分标准!$A$8,[1]评分标准!$A$9))))</f>
        <v>不相似</v>
      </c>
      <c r="W53" s="6" t="s">
        <v>1821</v>
      </c>
      <c r="X53" s="6" t="s">
        <v>1822</v>
      </c>
      <c r="Y53" s="6" t="s">
        <v>1823</v>
      </c>
      <c r="Z53" s="6" t="s">
        <v>1824</v>
      </c>
      <c r="AA53" s="6" t="s">
        <v>1825</v>
      </c>
      <c r="AB53" s="6" t="s">
        <v>1826</v>
      </c>
      <c r="AC53" s="6" t="s">
        <v>1827</v>
      </c>
      <c r="AD53" s="6" t="s">
        <v>1828</v>
      </c>
      <c r="AE53" s="6" t="s">
        <v>1829</v>
      </c>
      <c r="AF53" s="6" t="s">
        <v>1830</v>
      </c>
      <c r="AG53" s="6" t="s">
        <v>1831</v>
      </c>
      <c r="AH53" s="6" t="s">
        <v>1832</v>
      </c>
      <c r="AI53" s="6" t="s">
        <v>1833</v>
      </c>
      <c r="AJ53" s="6" t="s">
        <v>1834</v>
      </c>
      <c r="AK53" s="6" t="s">
        <v>1835</v>
      </c>
      <c r="AL53" s="6" t="s">
        <v>1836</v>
      </c>
      <c r="AM53" s="6" t="s">
        <v>1837</v>
      </c>
      <c r="AN53" s="6" t="s">
        <v>1838</v>
      </c>
      <c r="AO53" s="6" t="s">
        <v>1839</v>
      </c>
      <c r="AP53" s="6" t="s">
        <v>1840</v>
      </c>
      <c r="AQ53" s="6" t="s">
        <v>1841</v>
      </c>
      <c r="AR53" s="6" t="s">
        <v>1842</v>
      </c>
      <c r="AS53" s="6" t="s">
        <v>1843</v>
      </c>
      <c r="AT53" s="6" t="s">
        <v>1844</v>
      </c>
    </row>
    <row r="54" ht="13.5" spans="1:46">
      <c r="A54" t="s">
        <v>1845</v>
      </c>
      <c r="B54">
        <v>1</v>
      </c>
      <c r="C54" t="s">
        <v>1846</v>
      </c>
      <c r="D54" t="s">
        <v>1847</v>
      </c>
      <c r="E54" t="s">
        <v>1848</v>
      </c>
      <c r="F54" t="s">
        <v>1849</v>
      </c>
      <c r="G54" t="s">
        <v>1850</v>
      </c>
      <c r="H54" t="s">
        <v>1851</v>
      </c>
      <c r="I54" t="s">
        <v>1852</v>
      </c>
      <c r="J54" t="s">
        <v>1853</v>
      </c>
      <c r="K54" t="s">
        <v>1854</v>
      </c>
      <c r="L54" t="s">
        <v>1855</v>
      </c>
      <c r="M54" t="s">
        <v>236</v>
      </c>
      <c r="N54" s="6" t="s">
        <v>1856</v>
      </c>
      <c r="O54" s="6" t="s">
        <v>1857</v>
      </c>
      <c r="P54" s="6" t="s">
        <v>1858</v>
      </c>
      <c r="Q54">
        <v>29</v>
      </c>
      <c r="R54">
        <v>0.00028025685</v>
      </c>
      <c r="S54" s="6" t="s">
        <v>1859</v>
      </c>
      <c r="T54">
        <v>4</v>
      </c>
      <c r="U54" s="3">
        <v>55</v>
      </c>
      <c r="V54" s="4" t="str">
        <f>IF(U54&gt;=[1]评分标准!$B$5,[1]评分标准!$A$5,IF(U54&gt;=[1]评分标准!$B$6,[1]评分标准!$A$6,IF(U54&gt;=[1]评分标准!$B$7,[1]评分标准!$A$7,IF(U54&gt;=[1]评分标准!$B$8,[1]评分标准!$A$8,[1]评分标准!$A$9))))</f>
        <v>较低相似</v>
      </c>
      <c r="W54" s="6" t="s">
        <v>1860</v>
      </c>
      <c r="X54" s="6" t="s">
        <v>1861</v>
      </c>
      <c r="Y54" s="6" t="s">
        <v>1862</v>
      </c>
      <c r="Z54" s="6" t="s">
        <v>1863</v>
      </c>
      <c r="AA54" s="6" t="s">
        <v>1864</v>
      </c>
      <c r="AB54" s="6" t="s">
        <v>1865</v>
      </c>
      <c r="AC54" s="6" t="s">
        <v>1866</v>
      </c>
      <c r="AD54" s="6" t="s">
        <v>1867</v>
      </c>
      <c r="AE54" s="6" t="s">
        <v>1868</v>
      </c>
      <c r="AF54" s="6" t="s">
        <v>1869</v>
      </c>
      <c r="AG54" s="6" t="s">
        <v>1870</v>
      </c>
      <c r="AH54" s="6" t="s">
        <v>1871</v>
      </c>
      <c r="AI54" s="6" t="s">
        <v>1872</v>
      </c>
      <c r="AJ54" s="6" t="s">
        <v>1873</v>
      </c>
      <c r="AK54" s="6" t="s">
        <v>1874</v>
      </c>
      <c r="AL54" s="6" t="s">
        <v>1875</v>
      </c>
      <c r="AM54" s="6" t="s">
        <v>1876</v>
      </c>
      <c r="AN54" s="6" t="s">
        <v>1877</v>
      </c>
      <c r="AO54" s="6" t="s">
        <v>1878</v>
      </c>
      <c r="AP54" s="6" t="s">
        <v>1879</v>
      </c>
      <c r="AQ54" s="6" t="s">
        <v>1880</v>
      </c>
      <c r="AR54" s="6" t="s">
        <v>1881</v>
      </c>
      <c r="AS54" s="6" t="s">
        <v>1882</v>
      </c>
      <c r="AT54" s="6" t="s">
        <v>1883</v>
      </c>
    </row>
    <row r="55" ht="13.5" spans="1:46">
      <c r="A55" t="s">
        <v>1884</v>
      </c>
      <c r="B55">
        <v>1</v>
      </c>
      <c r="C55" t="s">
        <v>1885</v>
      </c>
      <c r="D55" t="s">
        <v>1886</v>
      </c>
      <c r="E55" t="s">
        <v>1887</v>
      </c>
      <c r="F55" t="s">
        <v>1888</v>
      </c>
      <c r="G55" t="s">
        <v>1889</v>
      </c>
      <c r="H55" t="s">
        <v>1890</v>
      </c>
      <c r="I55" t="s">
        <v>1383</v>
      </c>
      <c r="J55" t="s">
        <v>1891</v>
      </c>
      <c r="K55" t="s">
        <v>1892</v>
      </c>
      <c r="L55" t="s">
        <v>1893</v>
      </c>
      <c r="M55" t="s">
        <v>57</v>
      </c>
      <c r="N55" s="6" t="s">
        <v>1894</v>
      </c>
      <c r="O55" s="6" t="s">
        <v>1895</v>
      </c>
      <c r="P55" s="6" t="s">
        <v>1896</v>
      </c>
      <c r="Q55">
        <v>20</v>
      </c>
      <c r="R55">
        <v>0.03225202</v>
      </c>
      <c r="S55" s="6" t="s">
        <v>1897</v>
      </c>
      <c r="T55">
        <v>6</v>
      </c>
      <c r="U55" s="3">
        <v>50</v>
      </c>
      <c r="V55" s="4" t="str">
        <f>IF(U55&gt;=[1]评分标准!$B$5,[1]评分标准!$A$5,IF(U55&gt;=[1]评分标准!$B$6,[1]评分标准!$A$6,IF(U55&gt;=[1]评分标准!$B$7,[1]评分标准!$A$7,IF(U55&gt;=[1]评分标准!$B$8,[1]评分标准!$A$8,[1]评分标准!$A$9))))</f>
        <v>较低相似</v>
      </c>
      <c r="W55" s="6" t="s">
        <v>1898</v>
      </c>
      <c r="X55" s="6" t="s">
        <v>1899</v>
      </c>
      <c r="Y55" s="6" t="s">
        <v>1900</v>
      </c>
      <c r="Z55" s="6" t="s">
        <v>1901</v>
      </c>
      <c r="AA55" s="6" t="s">
        <v>1902</v>
      </c>
      <c r="AB55" s="6" t="s">
        <v>1903</v>
      </c>
      <c r="AC55" s="6" t="s">
        <v>1904</v>
      </c>
      <c r="AD55" s="6" t="s">
        <v>1905</v>
      </c>
      <c r="AE55" s="6" t="s">
        <v>1906</v>
      </c>
      <c r="AF55" s="6" t="s">
        <v>1907</v>
      </c>
      <c r="AG55" s="6" t="s">
        <v>1908</v>
      </c>
      <c r="AH55" s="6" t="s">
        <v>1909</v>
      </c>
      <c r="AI55" s="6" t="s">
        <v>1910</v>
      </c>
      <c r="AJ55" s="6" t="s">
        <v>1911</v>
      </c>
      <c r="AK55" s="6" t="s">
        <v>1912</v>
      </c>
      <c r="AL55" s="6" t="s">
        <v>1913</v>
      </c>
      <c r="AM55" s="6" t="s">
        <v>1914</v>
      </c>
      <c r="AN55" s="6" t="s">
        <v>1915</v>
      </c>
      <c r="AO55" s="6" t="s">
        <v>1916</v>
      </c>
      <c r="AP55" s="6" t="s">
        <v>1917</v>
      </c>
      <c r="AQ55" s="6" t="s">
        <v>1918</v>
      </c>
      <c r="AR55" s="6" t="s">
        <v>1919</v>
      </c>
      <c r="AS55" s="6" t="s">
        <v>1920</v>
      </c>
      <c r="AT55" s="6" t="s">
        <v>1921</v>
      </c>
    </row>
    <row r="57" spans="1:46">
      <c r="B57" t="s">
        <v>1922</v>
      </c>
      <c r="C57" t="s">
        <v>1923</v>
      </c>
    </row>
    <row r="58" spans="1:46">
      <c r="B58" t="s">
        <v>1924</v>
      </c>
      <c r="C58" t="s">
        <v>1925</v>
      </c>
    </row>
    <row r="59" spans="1:46">
      <c r="B59" t="s">
        <v>1926</v>
      </c>
      <c r="C59" t="s">
        <v>1927</v>
      </c>
    </row>
  </sheetData>
  <conditionalFormatting sqref="U2:V55">
    <cfRule type="expression" dxfId="0" priority="1">
      <formula>$C2="高度相似"</formula>
    </cfRule>
    <cfRule type="expression" dxfId="1" priority="2">
      <formula>$C2="较高相似"</formula>
    </cfRule>
    <cfRule type="expression" dxfId="2" priority="3">
      <formula>$C2="中等相似"</formula>
    </cfRule>
    <cfRule type="expression" dxfId="3" priority="4">
      <formula>$C2="较低相似"</formula>
    </cfRule>
    <cfRule type="expression" dxfId="4" priority="5">
      <formula>$C2="不相似"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physics_datset_MDSR_top1_shared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都</cp:lastModifiedBy>
  <dcterms:created xsi:type="dcterms:W3CDTF">2026-08-28T07:26:32Z</dcterms:created>
  <dcterms:modified xsi:type="dcterms:W3CDTF">2026-08-28T08:09:35Z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0045BEA723604D28924A14C946B852C9_13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