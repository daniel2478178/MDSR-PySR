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9100" windowHeight="13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<sst xmlns="http://schemas.openxmlformats.org/spreadsheetml/2006/main" count="36" uniqueCount="27">
  <si>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WithParam</t>
  </si>
  <si>
    <t>WithoutParam</t>
  </si>
  <si>
    <t>ModelName</t>
  </si>
  <si>
    <t>OriginalFormula</t>
  </si>
  <si>
    <t>GenerationFormula</t>
  </si>
  <si>
    <t>√</t>
  </si>
  <si>
    <t>I.10.7_1_0</t>
  </si>
  <si>
    <t>m = m_0/sqrt(1-v**2/c**2)</t>
  </si>
  <si>
    <t>c*sqrt(1 - m_0**2/m**2)</t>
  </si>
  <si>
    <t>Newton cooling</t>
  </si>
  <si>
    <t>T = Ta + (T0-Ta)*exp(-k*t)</t>
  </si>
  <si>
    <t>-log((T-Ta)/(T0-Ta))/k</t>
  </si>
  <si>
    <t>Bernoulli pressure-speed relation</t>
  </si>
  <si>
    <t>P = P0 - 0.5*rho*v**2</t>
  </si>
  <si>
    <t>sqrt(2*(P0-P)/rho)</t>
  </si>
  <si>
    <t>Lorentzian resonance line</t>
  </si>
  <si>
    <t>S = B0 + A*gamma**2/((f-f0)**2 + gamma**2)</t>
  </si>
  <si>
    <t>f0 + gamma*sqrt(A/(S-B0) - 1)</t>
  </si>
  <si>
    <t>Radioactive decay</t>
  </si>
  <si>
    <t>N = N0*exp(-lambda*t)</t>
  </si>
  <si>
    <t>log(N0/N)/lambda</t>
  </si>
  <si>
    <t>Uniform-acceleration velocity</t>
  </si>
  <si>
    <t>v = v0 + a*t</t>
  </si>
  <si>
    <t>(v-v0)/a</t>
  </si>
  <si>
    <t>Simple harmonic oscillator</t>
  </si>
  <si>
    <t>x = A*cos(omega*t + phi)</t>
  </si>
  <si>
    <t>(acos(x/A) - phi)/omega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</si>
</sst>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Carlito"/>
      <charset val="134"/>
    </font>
    <font>
      <sz val="11"/>
      <color theme="1"/>
      <name val="Carlito"/>
      <charset val="134"/>
    </font>
    <font>
      <b/>
      <sz val="11"/>
      <color theme="1"/>
      <name val="Carlito"/>
      <charset val="134"/>
    </font>
    <font>
      <sz val="11"/>
      <name val="Carlito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5">
    <xf numFmtId="0" fontId="0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vertical="top" wrapText="1"/>
    </xf>
    <xf numFmtId="0" fontId="3" fillId="3" borderId="1" xfId="0" applyNumberFormat="1" applyFont="1" applyFill="1" applyBorder="1" applyAlignment="1">
      <alignment vertical="top" wrapText="1"/>
    </xf>
    <xf numFmtId="0" fontId="2" fillId="4" borderId="1" xfId="0" applyNumberFormat="1" applyFon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F8" sqref="A1:F8"/>
    </sheetView>
  </sheetViews>
  <sheetFormatPr defaultColWidth="8.890625" defaultRowHeight="16.8" outlineLevelCol="4"/>
  <cols>
    <col min="1" max="1" width="9.6328125" customWidth="1"/>
    <col min="2" max="2" width="11.4453125" customWidth="1"/>
    <col min="3" max="3" width="14.3203125" customWidth="1"/>
    <col min="4" max="5" width="15.21875" customWidth="1"/>
  </cols>
  <sheetData>
    <row r="1" ht="47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4" spans="1:5">
      <c r="A2" s="2"/>
      <c r="B2" s="2" t="s">
        <v>5</v>
      </c>
      <c r="C2" s="2" t="s">
        <v>6</v>
      </c>
      <c r="D2" s="2" t="s">
        <v>7</v>
      </c>
      <c r="E2" s="3" t="s">
        <v>8</v>
      </c>
    </row>
    <row r="3" ht="63" customHeight="1" spans="1:5">
      <c r="A3" s="2" t="s">
        <v>5</v>
      </c>
      <c r="B3" s="2"/>
      <c r="C3" s="2" t="s">
        <v>9</v>
      </c>
      <c r="D3" s="2" t="s">
        <v>10</v>
      </c>
      <c r="E3" s="2" t="s">
        <v>11</v>
      </c>
    </row>
    <row r="4" ht="51" spans="1:5">
      <c r="A4" s="2" t="s">
        <v>5</v>
      </c>
      <c r="B4" s="2" t="s">
        <v>5</v>
      </c>
      <c r="C4" s="2" t="s">
        <v>12</v>
      </c>
      <c r="D4" s="2" t="s">
        <v>13</v>
      </c>
      <c r="E4" s="2" t="s">
        <v>14</v>
      </c>
    </row>
    <row r="5" ht="51" spans="1:5">
      <c r="A5" s="2" t="s">
        <v>5</v>
      </c>
      <c r="B5" s="2" t="s">
        <v>5</v>
      </c>
      <c r="C5" s="2" t="s">
        <v>15</v>
      </c>
      <c r="D5" s="2" t="s">
        <v>16</v>
      </c>
      <c r="E5" s="2" t="s">
        <v>17</v>
      </c>
    </row>
    <row r="6" ht="34" spans="1:5">
      <c r="A6" s="4" t="s">
        <v>5</v>
      </c>
      <c r="B6" s="4" t="s">
        <v>5</v>
      </c>
      <c r="C6" s="4" t="s">
        <v>18</v>
      </c>
      <c r="D6" s="4" t="s">
        <v>19</v>
      </c>
      <c r="E6" s="4" t="s">
        <v>20</v>
      </c>
    </row>
    <row r="7" ht="68" spans="1:5">
      <c r="A7" s="2" t="s">
        <v>5</v>
      </c>
      <c r="B7" s="2"/>
      <c r="C7" s="2" t="s">
        <v>21</v>
      </c>
      <c r="D7" s="2" t="s">
        <v>22</v>
      </c>
      <c r="E7" s="2" t="s">
        <v>23</v>
      </c>
    </row>
    <row r="8" ht="34" spans="1:5">
      <c r="A8" s="2" t="s">
        <v>5</v>
      </c>
      <c r="B8" s="2"/>
      <c r="C8" s="2" t="s">
        <v>24</v>
      </c>
      <c r="D8" s="2" t="s">
        <v>25</v>
      </c>
      <c r="E8" s="2" t="s">
        <v>26</v>
      </c>
    </row>
    <row r="9" spans="1:5">
      <c r="A9">
        <f>COUNTIF(A2:A8,"=√")</f>
        <v>6</v>
      </c>
      <c r="B9">
        <f>COUNTIF(B2:B8,"=√")</f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董世都</dc:creator>
  <cp:lastModifiedBy>董耕宸Daniel</cp:lastModifiedBy>
  <dcterms:created xsi:type="dcterms:W3CDTF">2026-08-26T15:30:00Z</dcterms:created>
  <dcterms:modified xsi:type="dcterms:W3CDTF">2026-08-28T11:07:49Z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31FE7B6F19FA3B0185FB906AEA667156_43</vt:lpwstr>
  </property>
  <property fmtid="{D5CDD505-2E9C-101B-9397-08002B2CF9AE}" pid="3" name="KSOProductBuildVer">
    <vt:lpwstr>1033-12.1.26055.26055</vt:lpwstr>
  </property>
  <property fmtid="{D5CDD505-2E9C-101B-9397-08002B2CF9AE}" pid="4" name="CalculationRule">
    <vt:i4>1</vt:i4>
  </property>
</Properties>
</file>